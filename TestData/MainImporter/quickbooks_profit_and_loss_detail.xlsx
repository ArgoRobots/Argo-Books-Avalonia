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20" i="1" l="1"/>
</calcChain>
</file>

<file path=xl/sharedStrings.xml><?xml version="1.0" encoding="utf-8"?>
<sst xmlns="http://schemas.openxmlformats.org/spreadsheetml/2006/main" count="1093" uniqueCount="275">
  <si>
    <t>Craig's Design and Landscaping Services</t>
  </si>
  <si>
    <t>Profit and Loss Detail</t>
  </si>
  <si>
    <t>January 1-July 29, 2026</t>
  </si>
  <si>
    <t>Ordinary Income/Expenses</t>
  </si>
  <si>
    <t>Income</t>
  </si>
  <si>
    <t>Design income</t>
  </si>
  <si>
    <t>06/09/2026</t>
  </si>
  <si>
    <t>Invoice</t>
  </si>
  <si>
    <t>1007</t>
  </si>
  <si>
    <t>John Melton</t>
  </si>
  <si>
    <t/>
  </si>
  <si>
    <t>Custom Design</t>
  </si>
  <si>
    <t>Accounts Receivable (A/R)</t>
  </si>
  <si>
    <t>Sales Receipt</t>
  </si>
  <si>
    <t>1008</t>
  </si>
  <si>
    <t>Kate Whelan</t>
  </si>
  <si>
    <t>Checking</t>
  </si>
  <si>
    <t>06/29/2026</t>
  </si>
  <si>
    <t>1003</t>
  </si>
  <si>
    <t>Dylan Sollfrank</t>
  </si>
  <si>
    <t>07/02/2026</t>
  </si>
  <si>
    <t>1010</t>
  </si>
  <si>
    <t>Weiskopf Consulting</t>
  </si>
  <si>
    <t>1015</t>
  </si>
  <si>
    <t>Paulsen Medical Supplies</t>
  </si>
  <si>
    <t>07/03/2026</t>
  </si>
  <si>
    <t>1033</t>
  </si>
  <si>
    <t>Geeta Kalapatapu</t>
  </si>
  <si>
    <t>Total for Design income</t>
  </si>
  <si>
    <t>Discounts given</t>
  </si>
  <si>
    <t>06/20/2026</t>
  </si>
  <si>
    <t>1012</t>
  </si>
  <si>
    <t>Shara Barnett:Barnett Design</t>
  </si>
  <si>
    <t>Discount</t>
  </si>
  <si>
    <t>1011</t>
  </si>
  <si>
    <t>Pye's Cakes</t>
  </si>
  <si>
    <t>Undeposited Funds</t>
  </si>
  <si>
    <t>Total for Discounts given</t>
  </si>
  <si>
    <t>Landscaping Services</t>
  </si>
  <si>
    <t>03/19/2026</t>
  </si>
  <si>
    <t>1002</t>
  </si>
  <si>
    <t>Bill's Windsurf Shop</t>
  </si>
  <si>
    <t>Weekly Gardening Service</t>
  </si>
  <si>
    <t>1030</t>
  </si>
  <si>
    <t>Freeman Sporting Goods:0969 Ocean View Road</t>
  </si>
  <si>
    <t>04/19/2026</t>
  </si>
  <si>
    <t>1031</t>
  </si>
  <si>
    <t>05/16/2026</t>
  </si>
  <si>
    <t>1016</t>
  </si>
  <si>
    <t>Kookies by Kathy</t>
  </si>
  <si>
    <t>05/17/2026</t>
  </si>
  <si>
    <t>1025</t>
  </si>
  <si>
    <t>Amy's Bird Sanctuary</t>
  </si>
  <si>
    <t>1027</t>
  </si>
  <si>
    <t>1028</t>
  </si>
  <si>
    <t>Freeman Sporting Goods:55 Twin Lane</t>
  </si>
  <si>
    <t>05/26/2026</t>
  </si>
  <si>
    <t>1006</t>
  </si>
  <si>
    <t>06/12/2026</t>
  </si>
  <si>
    <t>1022</t>
  </si>
  <si>
    <t>Jeff's Jalopies</t>
  </si>
  <si>
    <t>06/18/2026</t>
  </si>
  <si>
    <t>1017</t>
  </si>
  <si>
    <t>Sushi by Katsuyuki</t>
  </si>
  <si>
    <t>06/22/2026</t>
  </si>
  <si>
    <t>1013</t>
  </si>
  <si>
    <t>Travis Waldron</t>
  </si>
  <si>
    <t>06/25/2026</t>
  </si>
  <si>
    <t>1005</t>
  </si>
  <si>
    <t>1018</t>
  </si>
  <si>
    <t>06/30/2026</t>
  </si>
  <si>
    <t>1014</t>
  </si>
  <si>
    <t>Diego Rodriguez</t>
  </si>
  <si>
    <t>07/01/2026</t>
  </si>
  <si>
    <t>1001</t>
  </si>
  <si>
    <t>1019</t>
  </si>
  <si>
    <t>1034</t>
  </si>
  <si>
    <t>Rondonuwu Fruit and Vegi</t>
  </si>
  <si>
    <t>Tree and Shrub Trimming</t>
  </si>
  <si>
    <t>07/04/2026</t>
  </si>
  <si>
    <t>1036</t>
  </si>
  <si>
    <t>Total for Landscaping Services</t>
  </si>
  <si>
    <t>Job Materials</t>
  </si>
  <si>
    <t>Fountains and Garden Lighting</t>
  </si>
  <si>
    <t>Rock Fountain</t>
  </si>
  <si>
    <t>04/26/2026</t>
  </si>
  <si>
    <t>1024</t>
  </si>
  <si>
    <t>Red Rock Diner</t>
  </si>
  <si>
    <t>Garden Rocks</t>
  </si>
  <si>
    <t>1029</t>
  </si>
  <si>
    <t>Dukes Basketball Camp</t>
  </si>
  <si>
    <t>Concrete for fountain installation</t>
  </si>
  <si>
    <t>1021</t>
  </si>
  <si>
    <t>1032</t>
  </si>
  <si>
    <t>Fountain Pump</t>
  </si>
  <si>
    <t>Garden Lighting</t>
  </si>
  <si>
    <t>1037</t>
  </si>
  <si>
    <t>Sonnenschein Family Store</t>
  </si>
  <si>
    <t>Total for Fountains and Garden Lighting</t>
  </si>
  <si>
    <t>Plants and Soil</t>
  </si>
  <si>
    <t>Sod</t>
  </si>
  <si>
    <t>2 cubic ft. bag</t>
  </si>
  <si>
    <t>06/16/2026</t>
  </si>
  <si>
    <t>Expense</t>
  </si>
  <si>
    <t>8</t>
  </si>
  <si>
    <t>Hicks Hardware</t>
  </si>
  <si>
    <t>1004</t>
  </si>
  <si>
    <t>Cool Cars</t>
  </si>
  <si>
    <t>06/24/2026</t>
  </si>
  <si>
    <t>22</t>
  </si>
  <si>
    <t>Tania's Nursery</t>
  </si>
  <si>
    <t>Mastercard</t>
  </si>
  <si>
    <t>Total for Plants and Soil</t>
  </si>
  <si>
    <t>Sprinklers and Drip Systems</t>
  </si>
  <si>
    <t>Sprinkler Pipes</t>
  </si>
  <si>
    <t>Sprinkler Heads</t>
  </si>
  <si>
    <t>Total for Sprinklers and Drip Systems</t>
  </si>
  <si>
    <t>Total for Job Materials with sub-accounts</t>
  </si>
  <si>
    <t>Labor</t>
  </si>
  <si>
    <t>Installation</t>
  </si>
  <si>
    <t>Installation of landscape design</t>
  </si>
  <si>
    <t>Total for Installation</t>
  </si>
  <si>
    <t>Maintenance and Repair</t>
  </si>
  <si>
    <t>Maintenance &amp; Repair</t>
  </si>
  <si>
    <t>Total for Maintenance and Repair</t>
  </si>
  <si>
    <t>Total for Labor with sub-accounts</t>
  </si>
  <si>
    <t>Total for Landscaping Services with sub-accounts</t>
  </si>
  <si>
    <t>Pest Control Services</t>
  </si>
  <si>
    <t>06/17/2026</t>
  </si>
  <si>
    <t>Credit Memo</t>
  </si>
  <si>
    <t>1026</t>
  </si>
  <si>
    <t>Refund</t>
  </si>
  <si>
    <t>1020</t>
  </si>
  <si>
    <t>Refund - Pest control was ineffective</t>
  </si>
  <si>
    <t>1023</t>
  </si>
  <si>
    <t>Total for Pest Control Services</t>
  </si>
  <si>
    <t>Sales of Product Income</t>
  </si>
  <si>
    <t>1035</t>
  </si>
  <si>
    <t>Mark Cho</t>
  </si>
  <si>
    <t>Total for Sales of Product Income</t>
  </si>
  <si>
    <t>Services</t>
  </si>
  <si>
    <t>Installation Hours</t>
  </si>
  <si>
    <t>1009</t>
  </si>
  <si>
    <t>Lumber</t>
  </si>
  <si>
    <t>Total for Services</t>
  </si>
  <si>
    <t>Total for Income with sub-accounts</t>
  </si>
  <si>
    <t>Cost of Goods Sold</t>
  </si>
  <si>
    <t>Total for Cost of Goods Sold</t>
  </si>
  <si>
    <t>Total for Cost of Goods Sold with sub-accounts</t>
  </si>
  <si>
    <t>Gross Profit</t>
  </si>
  <si>
    <t>Expenses</t>
  </si>
  <si>
    <t>Advertising</t>
  </si>
  <si>
    <t>Lee Advertising</t>
  </si>
  <si>
    <t>Total for Advertising</t>
  </si>
  <si>
    <t>Automobile</t>
  </si>
  <si>
    <t>Cash Expense</t>
  </si>
  <si>
    <t>Squeaky Kleen Car Wash</t>
  </si>
  <si>
    <t>Check</t>
  </si>
  <si>
    <t>Debit</t>
  </si>
  <si>
    <t>07/09/2026</t>
  </si>
  <si>
    <t>Credit Card Expense</t>
  </si>
  <si>
    <t>07/16/2026</t>
  </si>
  <si>
    <t>07/29/2026</t>
  </si>
  <si>
    <t>Total for Automobile</t>
  </si>
  <si>
    <t>Fuel</t>
  </si>
  <si>
    <t>05/15/2026</t>
  </si>
  <si>
    <t>4</t>
  </si>
  <si>
    <t>Chin's Gas and Oil</t>
  </si>
  <si>
    <t>05/30/2026</t>
  </si>
  <si>
    <t>5</t>
  </si>
  <si>
    <t>06/19/2026</t>
  </si>
  <si>
    <t>1</t>
  </si>
  <si>
    <t>06/26/2026</t>
  </si>
  <si>
    <t>Total for Fuel</t>
  </si>
  <si>
    <t>Total for Automobile with sub-accounts</t>
  </si>
  <si>
    <t>Equipment Rental</t>
  </si>
  <si>
    <t>Ellis Equipment Rental</t>
  </si>
  <si>
    <t>Equipment rental for 5 days</t>
  </si>
  <si>
    <t>Total for Equipment Rental</t>
  </si>
  <si>
    <t>Insurance</t>
  </si>
  <si>
    <t>06/27/2026</t>
  </si>
  <si>
    <t>Bill</t>
  </si>
  <si>
    <t>Brosnahan Insurance Agency</t>
  </si>
  <si>
    <t>Accounts Payable (A/P)</t>
  </si>
  <si>
    <t>Total for Insurance</t>
  </si>
  <si>
    <t>Job Expenses</t>
  </si>
  <si>
    <t>05/31/2026</t>
  </si>
  <si>
    <t>15</t>
  </si>
  <si>
    <t>108</t>
  </si>
  <si>
    <t>Total for Job Expenses</t>
  </si>
  <si>
    <t>Decks and Patios</t>
  </si>
  <si>
    <t>Norton Lumber and Building Materials</t>
  </si>
  <si>
    <t>07/10/2026</t>
  </si>
  <si>
    <t>Total for Decks and Patios</t>
  </si>
  <si>
    <t>04/30/2026</t>
  </si>
  <si>
    <t>3</t>
  </si>
  <si>
    <t>05/24/2026</t>
  </si>
  <si>
    <t>9</t>
  </si>
  <si>
    <t>Morning Glories and Sod</t>
  </si>
  <si>
    <t>06/28/2026</t>
  </si>
  <si>
    <t>50</t>
  </si>
  <si>
    <t>07/07/2026</t>
  </si>
  <si>
    <t>13</t>
  </si>
  <si>
    <t>Total for Job Expenses with sub-accounts</t>
  </si>
  <si>
    <t>Legal &amp; Professional Fees</t>
  </si>
  <si>
    <t>76</t>
  </si>
  <si>
    <t>Pam Seitz</t>
  </si>
  <si>
    <t>Counsel</t>
  </si>
  <si>
    <t>Total for Legal &amp; Professional Fees</t>
  </si>
  <si>
    <t>Accounting</t>
  </si>
  <si>
    <t>04/23/2026</t>
  </si>
  <si>
    <t>12</t>
  </si>
  <si>
    <t>Robertson &amp; Associates</t>
  </si>
  <si>
    <t>Books by Bessie</t>
  </si>
  <si>
    <t>Total for Accounting</t>
  </si>
  <si>
    <t>Bookkeeper</t>
  </si>
  <si>
    <t>Total for Bookkeeper</t>
  </si>
  <si>
    <t>Lawyer</t>
  </si>
  <si>
    <t>03/02/2026</t>
  </si>
  <si>
    <t>Tony Rondonuwu</t>
  </si>
  <si>
    <t>Consulting</t>
  </si>
  <si>
    <t>Total for Lawyer</t>
  </si>
  <si>
    <t>Total for Legal &amp; Professional Fees with sub-accounts</t>
  </si>
  <si>
    <t>70</t>
  </si>
  <si>
    <t>Equipment Repairs</t>
  </si>
  <si>
    <t>Diego's Road Warrior Bodyshop</t>
  </si>
  <si>
    <t>Repairs on the truck</t>
  </si>
  <si>
    <t>Total for Equipment Repairs</t>
  </si>
  <si>
    <t>Total for Maintenance and Repair with sub-accounts</t>
  </si>
  <si>
    <t>Meals and Entertainment</t>
  </si>
  <si>
    <t>Bob's Burger Joint</t>
  </si>
  <si>
    <t>Total for Meals and Entertainment</t>
  </si>
  <si>
    <t>Office Expenses</t>
  </si>
  <si>
    <t>2</t>
  </si>
  <si>
    <t>Mahoney Mugs</t>
  </si>
  <si>
    <t>Office Supplies</t>
  </si>
  <si>
    <t>Total for Office Expenses</t>
  </si>
  <si>
    <t>Rent or Lease</t>
  </si>
  <si>
    <t>Hall Properties</t>
  </si>
  <si>
    <t>Building Lease</t>
  </si>
  <si>
    <t>Total for Rent or Lease</t>
  </si>
  <si>
    <t>Utilities</t>
  </si>
  <si>
    <t>Gas and Electric</t>
  </si>
  <si>
    <t>05/20/2026</t>
  </si>
  <si>
    <t>PG&amp;E</t>
  </si>
  <si>
    <t>Total for Gas and Electric</t>
  </si>
  <si>
    <t>Telephone</t>
  </si>
  <si>
    <t>05/19/2026</t>
  </si>
  <si>
    <t>Cal Telephone</t>
  </si>
  <si>
    <t>Monthly Phone Bill</t>
  </si>
  <si>
    <t>Total for Telephone</t>
  </si>
  <si>
    <t>Total for Utilities with sub-accounts</t>
  </si>
  <si>
    <t>Total for Expenses with sub-accounts</t>
  </si>
  <si>
    <t>Net Ordinary Income</t>
  </si>
  <si>
    <t>Other Income/Expense</t>
  </si>
  <si>
    <t>Other Income</t>
  </si>
  <si>
    <t>Other Expense</t>
  </si>
  <si>
    <t>Miscellaneous</t>
  </si>
  <si>
    <t>05/28/2026</t>
  </si>
  <si>
    <t>Tim Philip Masonry</t>
  </si>
  <si>
    <t>Total for Miscellaneous</t>
  </si>
  <si>
    <t>Total for Other Expense with sub-accounts</t>
  </si>
  <si>
    <t>Net Other Income</t>
  </si>
  <si>
    <t>Net Income</t>
  </si>
  <si>
    <t>Transaction date</t>
  </si>
  <si>
    <t>Transaction type</t>
  </si>
  <si>
    <t>Num</t>
  </si>
  <si>
    <t>Name</t>
  </si>
  <si>
    <t>Location</t>
  </si>
  <si>
    <t>Class full name</t>
  </si>
  <si>
    <t>Description</t>
  </si>
  <si>
    <t>Item split account</t>
  </si>
  <si>
    <t>Amount</t>
  </si>
  <si>
    <t>Balance</t>
  </si>
  <si>
    <t>Accrual Basis Thursday, July 30, 2026 05:32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</si>
</sst>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0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0" fillId="0" borderId="0" xfId="0" applyAlignment="1">
      <alignment horizontal="left" indent="4"/>
    </xf>
    <xf numFmtId="0" fontId="2" fillId="0" borderId="0" xfId="0" applyFont="1" applyAlignment="1">
      <alignment horizontal="left" indent="4"/>
    </xf>
    <xf numFmtId="0" fontId="4" fillId="0" borderId="0" xfId="0" applyFont="1" applyAlignment="1">
      <alignment horizontal="left" indent="4"/>
    </xf>
    <xf numFmtId="0" fontId="0" fillId="0" borderId="0" xfId="0" applyAlignment="1">
      <alignment horizontal="left" indent="3"/>
    </xf>
    <xf numFmtId="0" fontId="2" fillId="0" borderId="0" xfId="0" applyFont="1" applyAlignment="1">
      <alignment horizontal="left" indent="3"/>
    </xf>
    <xf numFmtId="0" fontId="4" fillId="0" borderId="0" xfId="0" applyFont="1" applyAlignment="1">
      <alignment horizontal="left" indent="3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4" fillId="0" borderId="3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4"/>
    </xf>
    <xf numFmtId="0" fontId="4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0" fontId="5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177" fontId="4" fillId="0" borderId="3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226"/>
  <sheetViews>
    <sheetView tabSelected="1" workbookViewId="0" topLeftCell="A1"/>
  </sheetViews>
  <sheetFormatPr defaultColWidth="11.255" defaultRowHeight="16"/>
  <cols>
    <col min="1" max="1" width="46.125" style="41" customWidth="1"/>
    <col min="2" max="2" width="25.5" style="41" customWidth="1"/>
    <col min="3" max="3" width="17" style="41" customWidth="1"/>
    <col min="4" max="4" width="7.5" style="41" customWidth="1"/>
    <col min="5" max="5" width="37.625" style="41" customWidth="1"/>
    <col min="6" max="6" width="7.5" style="41" customWidth="1"/>
    <col min="7" max="7" width="13.5" style="41" customWidth="1"/>
    <col min="8" max="8" width="32.375" style="41" customWidth="1"/>
    <col min="9" max="9" width="22.125" style="41" customWidth="1"/>
    <col min="10" max="11" width="16.125" style="41" customWidth="1"/>
  </cols>
  <sheetData>
    <row r="1" spans="1:1" ht="16">
      <c r="A1" s="31" t="s">
        <v>0</v>
      </c>
    </row>
    <row r="2" spans="1:1" ht="16">
      <c r="A2" s="32" t="s">
        <v>1</v>
      </c>
    </row>
    <row r="3" spans="1:1" ht="16">
      <c r="A3" s="33" t="s">
        <v>2</v>
      </c>
    </row>
    <row r="5" spans="1:11" ht="16">
      <c r="A5" s="43" t="s">
        <v>10</v>
      </c>
      <c r="B5" s="45" t="s">
        <v>264</v>
      </c>
      <c r="C5" s="45" t="s">
        <v>265</v>
      </c>
      <c r="D5" s="45" t="s">
        <v>266</v>
      </c>
      <c r="E5" s="45" t="s">
        <v>267</v>
      </c>
      <c r="F5" s="45" t="s">
        <v>268</v>
      </c>
      <c r="G5" s="45" t="s">
        <v>269</v>
      </c>
      <c r="H5" s="45" t="s">
        <v>270</v>
      </c>
      <c r="I5" s="45" t="s">
        <v>271</v>
      </c>
      <c r="J5" s="45" t="s">
        <v>272</v>
      </c>
      <c r="K5" s="45" t="s">
        <v>273</v>
      </c>
    </row>
    <row r="6" spans="1:1" ht="16">
      <c r="A6" s="35" t="s">
        <v>3</v>
      </c>
    </row>
    <row r="7" spans="1:1" ht="16">
      <c r="A7" s="35" t="s">
        <v>4</v>
      </c>
    </row>
    <row r="8" spans="1:1" ht="16">
      <c r="A8" s="35" t="s">
        <v>5</v>
      </c>
    </row>
    <row r="9" spans="2:11" ht="16">
      <c r="B9" s="44" t="s">
        <v>6</v>
      </c>
      <c r="C9" s="44" t="s">
        <v>7</v>
      </c>
      <c r="D9" s="44" t="s">
        <v>8</v>
      </c>
      <c r="E9" s="44" t="s">
        <v>9</v>
      </c>
      <c r="F9" s="44" t="s">
        <v>10</v>
      </c>
      <c r="G9" s="44" t="s">
        <v>10</v>
      </c>
      <c r="H9" s="44" t="s">
        <v>11</v>
      </c>
      <c r="I9" s="44" t="s">
        <v>12</v>
      </c>
      <c r="J9" s="46">
        <v>750.0</v>
      </c>
      <c r="K9" s="46">
        <v>750.0</v>
      </c>
    </row>
    <row r="10" spans="2:11" ht="16">
      <c r="B10" s="44" t="s">
        <v>6</v>
      </c>
      <c r="C10" s="44" t="s">
        <v>13</v>
      </c>
      <c r="D10" s="44" t="s">
        <v>14</v>
      </c>
      <c r="E10" s="44" t="s">
        <v>15</v>
      </c>
      <c r="F10" s="44" t="s">
        <v>10</v>
      </c>
      <c r="G10" s="44" t="s">
        <v>10</v>
      </c>
      <c r="H10" s="44" t="s">
        <v>11</v>
      </c>
      <c r="I10" s="44" t="s">
        <v>16</v>
      </c>
      <c r="J10" s="46">
        <v>225.0</v>
      </c>
      <c r="K10" s="46">
        <v>975.0</v>
      </c>
    </row>
    <row r="11" spans="2:11" ht="16">
      <c r="B11" s="44" t="s">
        <v>17</v>
      </c>
      <c r="C11" s="44" t="s">
        <v>13</v>
      </c>
      <c r="D11" s="44" t="s">
        <v>18</v>
      </c>
      <c r="E11" s="44" t="s">
        <v>19</v>
      </c>
      <c r="F11" s="44" t="s">
        <v>10</v>
      </c>
      <c r="G11" s="44" t="s">
        <v>10</v>
      </c>
      <c r="H11" s="44" t="s">
        <v>11</v>
      </c>
      <c r="I11" s="44" t="s">
        <v>16</v>
      </c>
      <c r="J11" s="46">
        <v>337.5</v>
      </c>
      <c r="K11" s="46">
        <v>1312.5</v>
      </c>
    </row>
    <row r="12" spans="2:11" ht="16">
      <c r="B12" s="44" t="s">
        <v>20</v>
      </c>
      <c r="C12" s="44" t="s">
        <v>7</v>
      </c>
      <c r="D12" s="44" t="s">
        <v>21</v>
      </c>
      <c r="E12" s="44" t="s">
        <v>22</v>
      </c>
      <c r="F12" s="44" t="s">
        <v>10</v>
      </c>
      <c r="G12" s="44" t="s">
        <v>10</v>
      </c>
      <c r="H12" s="44" t="s">
        <v>11</v>
      </c>
      <c r="I12" s="44" t="s">
        <v>12</v>
      </c>
      <c r="J12" s="46">
        <v>375.0</v>
      </c>
      <c r="K12" s="46">
        <v>1687.5</v>
      </c>
    </row>
    <row r="13" spans="2:11" ht="16">
      <c r="B13" s="44" t="s">
        <v>20</v>
      </c>
      <c r="C13" s="44" t="s">
        <v>7</v>
      </c>
      <c r="D13" s="44" t="s">
        <v>23</v>
      </c>
      <c r="E13" s="44" t="s">
        <v>24</v>
      </c>
      <c r="F13" s="44" t="s">
        <v>10</v>
      </c>
      <c r="G13" s="44" t="s">
        <v>10</v>
      </c>
      <c r="H13" s="44" t="s">
        <v>11</v>
      </c>
      <c r="I13" s="44" t="s">
        <v>12</v>
      </c>
      <c r="J13" s="46">
        <v>300.0</v>
      </c>
      <c r="K13" s="46">
        <v>1987.5</v>
      </c>
    </row>
    <row r="14" spans="2:11" ht="16">
      <c r="B14" s="44" t="s">
        <v>25</v>
      </c>
      <c r="C14" s="44" t="s">
        <v>7</v>
      </c>
      <c r="D14" s="44" t="s">
        <v>26</v>
      </c>
      <c r="E14" s="44" t="s">
        <v>27</v>
      </c>
      <c r="F14" s="44" t="s">
        <v>10</v>
      </c>
      <c r="G14" s="44" t="s">
        <v>10</v>
      </c>
      <c r="H14" s="44" t="s">
        <v>11</v>
      </c>
      <c r="I14" s="44" t="s">
        <v>12</v>
      </c>
      <c r="J14" s="46">
        <v>262.5</v>
      </c>
      <c r="K14" s="46">
        <v>2250.0</v>
      </c>
    </row>
    <row r="15" spans="1:10" ht="16">
      <c r="A15" s="36" t="s">
        <v>28</v>
      </c>
      <c r="J15" s="47">
        <f>J9+J10+J11+J12+J13+J14</f>
        <v>2250.0</v>
      </c>
    </row>
    <row r="16" spans="1:1" ht="16">
      <c r="A16" s="35" t="s">
        <v>29</v>
      </c>
    </row>
    <row r="17" spans="2:11" ht="16">
      <c r="B17" s="44" t="s">
        <v>30</v>
      </c>
      <c r="C17" s="44" t="s">
        <v>7</v>
      </c>
      <c r="D17" s="44" t="s">
        <v>31</v>
      </c>
      <c r="E17" s="44" t="s">
        <v>32</v>
      </c>
      <c r="F17" s="44" t="s">
        <v>10</v>
      </c>
      <c r="G17" s="44" t="s">
        <v>10</v>
      </c>
      <c r="H17" s="44" t="s">
        <v>33</v>
      </c>
      <c r="I17" s="44" t="s">
        <v>12</v>
      </c>
      <c r="J17" s="46">
        <v>-30.5</v>
      </c>
      <c r="K17" s="46">
        <v>-30.5</v>
      </c>
    </row>
    <row r="18" spans="2:11" ht="16">
      <c r="B18" s="44" t="s">
        <v>20</v>
      </c>
      <c r="C18" s="44" t="s">
        <v>13</v>
      </c>
      <c r="D18" s="44" t="s">
        <v>34</v>
      </c>
      <c r="E18" s="44" t="s">
        <v>35</v>
      </c>
      <c r="F18" s="44" t="s">
        <v>10</v>
      </c>
      <c r="G18" s="44" t="s">
        <v>10</v>
      </c>
      <c r="H18" s="44" t="s">
        <v>33</v>
      </c>
      <c r="I18" s="44" t="s">
        <v>36</v>
      </c>
      <c r="J18" s="46">
        <v>-8.75</v>
      </c>
      <c r="K18" s="46">
        <v>-39.25</v>
      </c>
    </row>
    <row r="19" spans="2:11" ht="16">
      <c r="B19" s="44" t="s">
        <v>20</v>
      </c>
      <c r="C19" s="44" t="s">
        <v>7</v>
      </c>
      <c r="D19" s="44" t="s">
        <v>23</v>
      </c>
      <c r="E19" s="44" t="s">
        <v>24</v>
      </c>
      <c r="F19" s="44" t="s">
        <v>10</v>
      </c>
      <c r="G19" s="44" t="s">
        <v>10</v>
      </c>
      <c r="H19" s="44" t="s">
        <v>33</v>
      </c>
      <c r="I19" s="44" t="s">
        <v>12</v>
      </c>
      <c r="J19" s="46">
        <v>-50.25</v>
      </c>
      <c r="K19" s="46">
        <v>-89.5</v>
      </c>
    </row>
    <row r="20" spans="1:10" ht="16">
      <c r="A20" s="36" t="s">
        <v>37</v>
      </c>
      <c r="J20" s="47">
        <f>J17+J18+J19</f>
        <v>-89.5</v>
      </c>
    </row>
    <row r="21" spans="1:1" ht="16">
      <c r="A21" s="35" t="s">
        <v>38</v>
      </c>
    </row>
    <row r="22" spans="2:11" ht="16">
      <c r="B22" s="44" t="s">
        <v>39</v>
      </c>
      <c r="C22" s="44" t="s">
        <v>7</v>
      </c>
      <c r="D22" s="44" t="s">
        <v>40</v>
      </c>
      <c r="E22" s="44" t="s">
        <v>41</v>
      </c>
      <c r="F22" s="44" t="s">
        <v>10</v>
      </c>
      <c r="G22" s="44" t="s">
        <v>10</v>
      </c>
      <c r="H22" s="44" t="s">
        <v>42</v>
      </c>
      <c r="I22" s="44" t="s">
        <v>12</v>
      </c>
      <c r="J22" s="46">
        <v>140.0</v>
      </c>
      <c r="K22" s="46">
        <v>140.0</v>
      </c>
    </row>
    <row r="23" spans="2:11" ht="16">
      <c r="B23" s="44" t="s">
        <v>39</v>
      </c>
      <c r="C23" s="44" t="s">
        <v>7</v>
      </c>
      <c r="D23" s="44" t="s">
        <v>43</v>
      </c>
      <c r="E23" s="44" t="s">
        <v>44</v>
      </c>
      <c r="F23" s="44" t="s">
        <v>10</v>
      </c>
      <c r="G23" s="44" t="s">
        <v>10</v>
      </c>
      <c r="H23" s="44" t="s">
        <v>42</v>
      </c>
      <c r="I23" s="44" t="s">
        <v>12</v>
      </c>
      <c r="J23" s="46">
        <v>50.0</v>
      </c>
      <c r="K23" s="46">
        <v>190.0</v>
      </c>
    </row>
    <row r="24" spans="2:11" ht="16">
      <c r="B24" s="44" t="s">
        <v>45</v>
      </c>
      <c r="C24" s="44" t="s">
        <v>7</v>
      </c>
      <c r="D24" s="44" t="s">
        <v>46</v>
      </c>
      <c r="E24" s="44" t="s">
        <v>44</v>
      </c>
      <c r="F24" s="44" t="s">
        <v>10</v>
      </c>
      <c r="G24" s="44" t="s">
        <v>10</v>
      </c>
      <c r="H24" s="44" t="s">
        <v>42</v>
      </c>
      <c r="I24" s="44" t="s">
        <v>12</v>
      </c>
      <c r="J24" s="46">
        <v>90.0</v>
      </c>
      <c r="K24" s="46">
        <v>280.0</v>
      </c>
    </row>
    <row r="25" spans="2:11" ht="16">
      <c r="B25" s="44" t="s">
        <v>47</v>
      </c>
      <c r="C25" s="44" t="s">
        <v>7</v>
      </c>
      <c r="D25" s="44" t="s">
        <v>48</v>
      </c>
      <c r="E25" s="44" t="s">
        <v>49</v>
      </c>
      <c r="F25" s="44" t="s">
        <v>10</v>
      </c>
      <c r="G25" s="44" t="s">
        <v>10</v>
      </c>
      <c r="H25" s="44" t="s">
        <v>42</v>
      </c>
      <c r="I25" s="44" t="s">
        <v>12</v>
      </c>
      <c r="J25" s="46">
        <v>75.0</v>
      </c>
      <c r="K25" s="46">
        <v>355.0</v>
      </c>
    </row>
    <row r="26" spans="2:11" ht="16">
      <c r="B26" s="44" t="s">
        <v>50</v>
      </c>
      <c r="C26" s="44" t="s">
        <v>7</v>
      </c>
      <c r="D26" s="44" t="s">
        <v>51</v>
      </c>
      <c r="E26" s="44" t="s">
        <v>52</v>
      </c>
      <c r="F26" s="44" t="s">
        <v>10</v>
      </c>
      <c r="G26" s="44" t="s">
        <v>10</v>
      </c>
      <c r="H26" s="44" t="s">
        <v>42</v>
      </c>
      <c r="I26" s="44" t="s">
        <v>12</v>
      </c>
      <c r="J26" s="46">
        <v>120.0</v>
      </c>
      <c r="K26" s="46">
        <v>475.0</v>
      </c>
    </row>
    <row r="27" spans="2:11" ht="16">
      <c r="B27" s="44" t="s">
        <v>50</v>
      </c>
      <c r="C27" s="44" t="s">
        <v>7</v>
      </c>
      <c r="D27" s="44" t="s">
        <v>53</v>
      </c>
      <c r="E27" s="44" t="s">
        <v>41</v>
      </c>
      <c r="F27" s="44" t="s">
        <v>10</v>
      </c>
      <c r="G27" s="44" t="s">
        <v>10</v>
      </c>
      <c r="H27" s="44" t="s">
        <v>42</v>
      </c>
      <c r="I27" s="44" t="s">
        <v>12</v>
      </c>
      <c r="J27" s="46">
        <v>50.0</v>
      </c>
      <c r="K27" s="46">
        <v>525.0</v>
      </c>
    </row>
    <row r="28" spans="2:11" ht="16">
      <c r="B28" s="44" t="s">
        <v>50</v>
      </c>
      <c r="C28" s="44" t="s">
        <v>7</v>
      </c>
      <c r="D28" s="44" t="s">
        <v>54</v>
      </c>
      <c r="E28" s="44" t="s">
        <v>55</v>
      </c>
      <c r="F28" s="44" t="s">
        <v>10</v>
      </c>
      <c r="G28" s="44" t="s">
        <v>10</v>
      </c>
      <c r="H28" s="44" t="s">
        <v>42</v>
      </c>
      <c r="I28" s="44" t="s">
        <v>12</v>
      </c>
      <c r="J28" s="46">
        <v>75.0</v>
      </c>
      <c r="K28" s="46">
        <v>600.0</v>
      </c>
    </row>
    <row r="29" spans="2:11" ht="16">
      <c r="B29" s="44" t="s">
        <v>56</v>
      </c>
      <c r="C29" s="44" t="s">
        <v>7</v>
      </c>
      <c r="D29" s="44" t="s">
        <v>57</v>
      </c>
      <c r="E29" s="44" t="s">
        <v>55</v>
      </c>
      <c r="F29" s="44" t="s">
        <v>10</v>
      </c>
      <c r="G29" s="44" t="s">
        <v>10</v>
      </c>
      <c r="H29" s="44" t="s">
        <v>42</v>
      </c>
      <c r="I29" s="44" t="s">
        <v>12</v>
      </c>
      <c r="J29" s="46">
        <v>80.0</v>
      </c>
      <c r="K29" s="46">
        <v>680.0</v>
      </c>
    </row>
    <row r="30" spans="2:11" ht="16">
      <c r="B30" s="44" t="s">
        <v>58</v>
      </c>
      <c r="C30" s="44" t="s">
        <v>7</v>
      </c>
      <c r="D30" s="44" t="s">
        <v>59</v>
      </c>
      <c r="E30" s="44" t="s">
        <v>60</v>
      </c>
      <c r="F30" s="44" t="s">
        <v>10</v>
      </c>
      <c r="G30" s="44" t="s">
        <v>10</v>
      </c>
      <c r="H30" s="44" t="s">
        <v>42</v>
      </c>
      <c r="I30" s="44" t="s">
        <v>12</v>
      </c>
      <c r="J30" s="46">
        <v>75.0</v>
      </c>
      <c r="K30" s="46">
        <v>755.0</v>
      </c>
    </row>
    <row r="31" spans="2:11" ht="16">
      <c r="B31" s="44" t="s">
        <v>61</v>
      </c>
      <c r="C31" s="44" t="s">
        <v>7</v>
      </c>
      <c r="D31" s="44" t="s">
        <v>62</v>
      </c>
      <c r="E31" s="44" t="s">
        <v>63</v>
      </c>
      <c r="F31" s="44" t="s">
        <v>10</v>
      </c>
      <c r="G31" s="44" t="s">
        <v>10</v>
      </c>
      <c r="H31" s="44" t="s">
        <v>42</v>
      </c>
      <c r="I31" s="44" t="s">
        <v>12</v>
      </c>
      <c r="J31" s="46">
        <v>80.0</v>
      </c>
      <c r="K31" s="46">
        <v>835.0</v>
      </c>
    </row>
    <row r="32" spans="2:11" ht="16">
      <c r="B32" s="44" t="s">
        <v>64</v>
      </c>
      <c r="C32" s="44" t="s">
        <v>7</v>
      </c>
      <c r="D32" s="44" t="s">
        <v>65</v>
      </c>
      <c r="E32" s="44" t="s">
        <v>66</v>
      </c>
      <c r="F32" s="44" t="s">
        <v>10</v>
      </c>
      <c r="G32" s="44" t="s">
        <v>10</v>
      </c>
      <c r="H32" s="44" t="s">
        <v>42</v>
      </c>
      <c r="I32" s="44" t="s">
        <v>12</v>
      </c>
      <c r="J32" s="46">
        <v>75.0</v>
      </c>
      <c r="K32" s="46">
        <v>910.0</v>
      </c>
    </row>
    <row r="33" spans="2:11" ht="16">
      <c r="B33" s="44" t="s">
        <v>67</v>
      </c>
      <c r="C33" s="44" t="s">
        <v>7</v>
      </c>
      <c r="D33" s="44" t="s">
        <v>68</v>
      </c>
      <c r="E33" s="44" t="s">
        <v>55</v>
      </c>
      <c r="F33" s="44" t="s">
        <v>10</v>
      </c>
      <c r="G33" s="44" t="s">
        <v>10</v>
      </c>
      <c r="H33" s="44" t="s">
        <v>42</v>
      </c>
      <c r="I33" s="44" t="s">
        <v>12</v>
      </c>
      <c r="J33" s="46">
        <v>50.0</v>
      </c>
      <c r="K33" s="46">
        <v>960.0</v>
      </c>
    </row>
    <row r="34" spans="2:11" ht="16">
      <c r="B34" s="44" t="s">
        <v>67</v>
      </c>
      <c r="C34" s="44" t="s">
        <v>7</v>
      </c>
      <c r="D34" s="44" t="s">
        <v>69</v>
      </c>
      <c r="E34" s="44" t="s">
        <v>63</v>
      </c>
      <c r="F34" s="44" t="s">
        <v>10</v>
      </c>
      <c r="G34" s="44" t="s">
        <v>10</v>
      </c>
      <c r="H34" s="44" t="s">
        <v>42</v>
      </c>
      <c r="I34" s="44" t="s">
        <v>12</v>
      </c>
      <c r="J34" s="46">
        <v>80.0</v>
      </c>
      <c r="K34" s="46">
        <v>1040.0</v>
      </c>
    </row>
    <row r="35" spans="2:11" ht="16">
      <c r="B35" s="44" t="s">
        <v>70</v>
      </c>
      <c r="C35" s="44" t="s">
        <v>13</v>
      </c>
      <c r="D35" s="44" t="s">
        <v>71</v>
      </c>
      <c r="E35" s="44" t="s">
        <v>72</v>
      </c>
      <c r="F35" s="44" t="s">
        <v>10</v>
      </c>
      <c r="G35" s="44" t="s">
        <v>10</v>
      </c>
      <c r="H35" s="44" t="s">
        <v>42</v>
      </c>
      <c r="I35" s="44" t="s">
        <v>36</v>
      </c>
      <c r="J35" s="46">
        <v>140.0</v>
      </c>
      <c r="K35" s="46">
        <v>1180.0</v>
      </c>
    </row>
    <row r="36" spans="2:11" ht="16">
      <c r="B36" s="44" t="s">
        <v>73</v>
      </c>
      <c r="C36" s="44" t="s">
        <v>7</v>
      </c>
      <c r="D36" s="44" t="s">
        <v>74</v>
      </c>
      <c r="E36" s="44" t="s">
        <v>52</v>
      </c>
      <c r="F36" s="44" t="s">
        <v>10</v>
      </c>
      <c r="G36" s="44" t="s">
        <v>10</v>
      </c>
      <c r="H36" s="44" t="s">
        <v>42</v>
      </c>
      <c r="I36" s="44" t="s">
        <v>12</v>
      </c>
      <c r="J36" s="46">
        <v>100.0</v>
      </c>
      <c r="K36" s="46">
        <v>1280.0</v>
      </c>
    </row>
    <row r="37" spans="2:11" ht="16">
      <c r="B37" s="44" t="s">
        <v>20</v>
      </c>
      <c r="C37" s="44" t="s">
        <v>7</v>
      </c>
      <c r="D37" s="44" t="s">
        <v>75</v>
      </c>
      <c r="E37" s="44" t="s">
        <v>63</v>
      </c>
      <c r="F37" s="44" t="s">
        <v>10</v>
      </c>
      <c r="G37" s="44" t="s">
        <v>10</v>
      </c>
      <c r="H37" s="44" t="s">
        <v>42</v>
      </c>
      <c r="I37" s="44" t="s">
        <v>12</v>
      </c>
      <c r="J37" s="46">
        <v>80.0</v>
      </c>
      <c r="K37" s="46">
        <v>1360.0</v>
      </c>
    </row>
    <row r="38" spans="2:11" ht="16">
      <c r="B38" s="44" t="s">
        <v>25</v>
      </c>
      <c r="C38" s="44" t="s">
        <v>7</v>
      </c>
      <c r="D38" s="44" t="s">
        <v>76</v>
      </c>
      <c r="E38" s="44" t="s">
        <v>77</v>
      </c>
      <c r="F38" s="44" t="s">
        <v>10</v>
      </c>
      <c r="G38" s="44" t="s">
        <v>10</v>
      </c>
      <c r="H38" s="44" t="s">
        <v>78</v>
      </c>
      <c r="I38" s="44" t="s">
        <v>12</v>
      </c>
      <c r="J38" s="46">
        <v>30.0</v>
      </c>
      <c r="K38" s="46">
        <v>1390.0</v>
      </c>
    </row>
    <row r="39" spans="2:11" ht="16">
      <c r="B39" s="44" t="s">
        <v>79</v>
      </c>
      <c r="C39" s="44" t="s">
        <v>7</v>
      </c>
      <c r="D39" s="44" t="s">
        <v>80</v>
      </c>
      <c r="E39" s="44" t="s">
        <v>44</v>
      </c>
      <c r="F39" s="44" t="s">
        <v>10</v>
      </c>
      <c r="G39" s="44" t="s">
        <v>10</v>
      </c>
      <c r="H39" s="44" t="s">
        <v>42</v>
      </c>
      <c r="I39" s="44" t="s">
        <v>12</v>
      </c>
      <c r="J39" s="46">
        <v>87.5</v>
      </c>
      <c r="K39" s="46">
        <v>1477.5</v>
      </c>
    </row>
    <row r="40" spans="1:10" ht="16">
      <c r="A40" s="36" t="s">
        <v>81</v>
      </c>
      <c r="J40" s="47">
        <f>J22+J23+J24+J25+J26+J27+J28+J29+J30+J31+J32+J33+J34+J35+J36+J37+J38+J39</f>
        <v>1477.5</v>
      </c>
    </row>
    <row r="41" spans="1:1" ht="16">
      <c r="A41" s="35" t="s">
        <v>82</v>
      </c>
    </row>
    <row r="42" spans="1:1" ht="16">
      <c r="A42" s="35" t="s">
        <v>83</v>
      </c>
    </row>
    <row r="43" spans="2:11" ht="16">
      <c r="B43" s="44" t="s">
        <v>45</v>
      </c>
      <c r="C43" s="44" t="s">
        <v>7</v>
      </c>
      <c r="D43" s="44" t="s">
        <v>46</v>
      </c>
      <c r="E43" s="44" t="s">
        <v>44</v>
      </c>
      <c r="F43" s="44" t="s">
        <v>10</v>
      </c>
      <c r="G43" s="44" t="s">
        <v>10</v>
      </c>
      <c r="H43" s="44" t="s">
        <v>84</v>
      </c>
      <c r="I43" s="44" t="s">
        <v>12</v>
      </c>
      <c r="J43" s="46">
        <v>275.0</v>
      </c>
      <c r="K43" s="46">
        <v>275.0</v>
      </c>
    </row>
    <row r="44" spans="2:11" ht="16">
      <c r="B44" s="44" t="s">
        <v>85</v>
      </c>
      <c r="C44" s="44" t="s">
        <v>7</v>
      </c>
      <c r="D44" s="44" t="s">
        <v>86</v>
      </c>
      <c r="E44" s="44" t="s">
        <v>87</v>
      </c>
      <c r="F44" s="44" t="s">
        <v>10</v>
      </c>
      <c r="G44" s="44" t="s">
        <v>10</v>
      </c>
      <c r="H44" s="44" t="s">
        <v>88</v>
      </c>
      <c r="I44" s="44" t="s">
        <v>12</v>
      </c>
      <c r="J44" s="46">
        <v>48.0</v>
      </c>
      <c r="K44" s="46">
        <v>323.0</v>
      </c>
    </row>
    <row r="45" spans="2:11" ht="16">
      <c r="B45" s="44" t="s">
        <v>50</v>
      </c>
      <c r="C45" s="44" t="s">
        <v>7</v>
      </c>
      <c r="D45" s="44" t="s">
        <v>89</v>
      </c>
      <c r="E45" s="44" t="s">
        <v>90</v>
      </c>
      <c r="F45" s="44" t="s">
        <v>10</v>
      </c>
      <c r="G45" s="44" t="s">
        <v>10</v>
      </c>
      <c r="H45" s="44" t="s">
        <v>91</v>
      </c>
      <c r="I45" s="44" t="s">
        <v>12</v>
      </c>
      <c r="J45" s="46">
        <v>75.0</v>
      </c>
      <c r="K45" s="46">
        <v>398.0</v>
      </c>
    </row>
    <row r="46" spans="2:11" ht="16">
      <c r="B46" s="44" t="s">
        <v>50</v>
      </c>
      <c r="C46" s="44" t="s">
        <v>7</v>
      </c>
      <c r="D46" s="44" t="s">
        <v>89</v>
      </c>
      <c r="E46" s="44" t="s">
        <v>90</v>
      </c>
      <c r="F46" s="44" t="s">
        <v>10</v>
      </c>
      <c r="G46" s="44" t="s">
        <v>10</v>
      </c>
      <c r="H46" s="44" t="s">
        <v>88</v>
      </c>
      <c r="I46" s="44" t="s">
        <v>12</v>
      </c>
      <c r="J46" s="46">
        <v>72.0</v>
      </c>
      <c r="K46" s="46">
        <v>470.0</v>
      </c>
    </row>
    <row r="47" spans="2:11" ht="16">
      <c r="B47" s="44" t="s">
        <v>50</v>
      </c>
      <c r="C47" s="44" t="s">
        <v>7</v>
      </c>
      <c r="D47" s="44" t="s">
        <v>89</v>
      </c>
      <c r="E47" s="44" t="s">
        <v>90</v>
      </c>
      <c r="F47" s="44" t="s">
        <v>10</v>
      </c>
      <c r="G47" s="44" t="s">
        <v>10</v>
      </c>
      <c r="H47" s="44" t="s">
        <v>84</v>
      </c>
      <c r="I47" s="44" t="s">
        <v>12</v>
      </c>
      <c r="J47" s="46">
        <v>275.0</v>
      </c>
      <c r="K47" s="46">
        <v>745.0</v>
      </c>
    </row>
    <row r="48" spans="2:11" ht="16">
      <c r="B48" s="44" t="s">
        <v>58</v>
      </c>
      <c r="C48" s="44" t="s">
        <v>7</v>
      </c>
      <c r="D48" s="44" t="s">
        <v>92</v>
      </c>
      <c r="E48" s="44" t="s">
        <v>52</v>
      </c>
      <c r="F48" s="44" t="s">
        <v>10</v>
      </c>
      <c r="G48" s="44" t="s">
        <v>10</v>
      </c>
      <c r="H48" s="44" t="s">
        <v>84</v>
      </c>
      <c r="I48" s="44" t="s">
        <v>12</v>
      </c>
      <c r="J48" s="46">
        <v>275.0</v>
      </c>
      <c r="K48" s="46">
        <v>1020.0</v>
      </c>
    </row>
    <row r="49" spans="2:11" ht="16">
      <c r="B49" s="44" t="s">
        <v>30</v>
      </c>
      <c r="C49" s="44" t="s">
        <v>7</v>
      </c>
      <c r="D49" s="44" t="s">
        <v>31</v>
      </c>
      <c r="E49" s="44" t="s">
        <v>32</v>
      </c>
      <c r="F49" s="44" t="s">
        <v>10</v>
      </c>
      <c r="G49" s="44" t="s">
        <v>10</v>
      </c>
      <c r="H49" s="44" t="s">
        <v>84</v>
      </c>
      <c r="I49" s="44" t="s">
        <v>12</v>
      </c>
      <c r="J49" s="46">
        <v>275.0</v>
      </c>
      <c r="K49" s="46">
        <v>1295.0</v>
      </c>
    </row>
    <row r="50" spans="2:11" ht="16">
      <c r="B50" s="44" t="s">
        <v>73</v>
      </c>
      <c r="C50" s="44" t="s">
        <v>7</v>
      </c>
      <c r="D50" s="44" t="s">
        <v>93</v>
      </c>
      <c r="E50" s="44" t="s">
        <v>66</v>
      </c>
      <c r="F50" s="44" t="s">
        <v>10</v>
      </c>
      <c r="G50" s="44" t="s">
        <v>10</v>
      </c>
      <c r="H50" s="44" t="s">
        <v>88</v>
      </c>
      <c r="I50" s="44" t="s">
        <v>12</v>
      </c>
      <c r="J50" s="46">
        <v>84.0</v>
      </c>
      <c r="K50" s="46">
        <v>1379.0</v>
      </c>
    </row>
    <row r="51" spans="2:11" ht="16">
      <c r="B51" s="44" t="s">
        <v>20</v>
      </c>
      <c r="C51" s="44" t="s">
        <v>7</v>
      </c>
      <c r="D51" s="44" t="s">
        <v>23</v>
      </c>
      <c r="E51" s="44" t="s">
        <v>24</v>
      </c>
      <c r="F51" s="44" t="s">
        <v>10</v>
      </c>
      <c r="G51" s="44" t="s">
        <v>10</v>
      </c>
      <c r="H51" s="44" t="s">
        <v>84</v>
      </c>
      <c r="I51" s="44" t="s">
        <v>12</v>
      </c>
      <c r="J51" s="46">
        <v>275.0</v>
      </c>
      <c r="K51" s="46">
        <v>1654.0</v>
      </c>
    </row>
    <row r="52" spans="2:11" ht="16">
      <c r="B52" s="44" t="s">
        <v>20</v>
      </c>
      <c r="C52" s="44" t="s">
        <v>7</v>
      </c>
      <c r="D52" s="44" t="s">
        <v>23</v>
      </c>
      <c r="E52" s="44" t="s">
        <v>24</v>
      </c>
      <c r="F52" s="44" t="s">
        <v>10</v>
      </c>
      <c r="G52" s="44" t="s">
        <v>10</v>
      </c>
      <c r="H52" s="44" t="s">
        <v>88</v>
      </c>
      <c r="I52" s="44" t="s">
        <v>12</v>
      </c>
      <c r="J52" s="46">
        <v>180.0</v>
      </c>
      <c r="K52" s="46">
        <v>1834.0</v>
      </c>
    </row>
    <row r="53" spans="2:11" ht="16">
      <c r="B53" s="44" t="s">
        <v>25</v>
      </c>
      <c r="C53" s="44" t="s">
        <v>7</v>
      </c>
      <c r="D53" s="44" t="s">
        <v>26</v>
      </c>
      <c r="E53" s="44" t="s">
        <v>27</v>
      </c>
      <c r="F53" s="44" t="s">
        <v>10</v>
      </c>
      <c r="G53" s="44" t="s">
        <v>10</v>
      </c>
      <c r="H53" s="44" t="s">
        <v>84</v>
      </c>
      <c r="I53" s="44" t="s">
        <v>12</v>
      </c>
      <c r="J53" s="46">
        <v>275.0</v>
      </c>
      <c r="K53" s="46">
        <v>2109.0</v>
      </c>
    </row>
    <row r="54" spans="2:11" ht="16">
      <c r="B54" s="44" t="s">
        <v>25</v>
      </c>
      <c r="C54" s="44" t="s">
        <v>7</v>
      </c>
      <c r="D54" s="44" t="s">
        <v>26</v>
      </c>
      <c r="E54" s="44" t="s">
        <v>27</v>
      </c>
      <c r="F54" s="44" t="s">
        <v>10</v>
      </c>
      <c r="G54" s="44" t="s">
        <v>10</v>
      </c>
      <c r="H54" s="44" t="s">
        <v>94</v>
      </c>
      <c r="I54" s="44" t="s">
        <v>12</v>
      </c>
      <c r="J54" s="46">
        <v>45.0</v>
      </c>
      <c r="K54" s="46">
        <v>2154.0</v>
      </c>
    </row>
    <row r="55" spans="2:11" ht="16">
      <c r="B55" s="44" t="s">
        <v>25</v>
      </c>
      <c r="C55" s="44" t="s">
        <v>7</v>
      </c>
      <c r="D55" s="44" t="s">
        <v>76</v>
      </c>
      <c r="E55" s="44" t="s">
        <v>77</v>
      </c>
      <c r="F55" s="44" t="s">
        <v>10</v>
      </c>
      <c r="G55" s="44" t="s">
        <v>10</v>
      </c>
      <c r="H55" s="44" t="s">
        <v>95</v>
      </c>
      <c r="I55" s="44" t="s">
        <v>12</v>
      </c>
      <c r="J55" s="46">
        <v>45.0</v>
      </c>
      <c r="K55" s="46">
        <v>2199.0</v>
      </c>
    </row>
    <row r="56" spans="2:11" ht="16">
      <c r="B56" s="44" t="s">
        <v>79</v>
      </c>
      <c r="C56" s="44" t="s">
        <v>7</v>
      </c>
      <c r="D56" s="44" t="s">
        <v>96</v>
      </c>
      <c r="E56" s="44" t="s">
        <v>97</v>
      </c>
      <c r="F56" s="44" t="s">
        <v>10</v>
      </c>
      <c r="G56" s="44" t="s">
        <v>10</v>
      </c>
      <c r="H56" s="44" t="s">
        <v>91</v>
      </c>
      <c r="I56" s="44" t="s">
        <v>12</v>
      </c>
      <c r="J56" s="46">
        <v>47.5</v>
      </c>
      <c r="K56" s="46">
        <v>2246.5</v>
      </c>
    </row>
    <row r="57" spans="1:10" ht="16">
      <c r="A57" s="37" t="s">
        <v>98</v>
      </c>
      <c r="J57" s="47">
        <f>J43+J44+J45+J46+J47+J48+J49+J50+J51+J52+J53+J54+J55+J56</f>
        <v>2246.5</v>
      </c>
    </row>
    <row r="58" spans="1:1" ht="16">
      <c r="A58" s="35" t="s">
        <v>99</v>
      </c>
    </row>
    <row r="59" spans="2:11" ht="16">
      <c r="B59" s="44" t="s">
        <v>39</v>
      </c>
      <c r="C59" s="44" t="s">
        <v>7</v>
      </c>
      <c r="D59" s="44" t="s">
        <v>43</v>
      </c>
      <c r="E59" s="44" t="s">
        <v>44</v>
      </c>
      <c r="F59" s="44" t="s">
        <v>10</v>
      </c>
      <c r="G59" s="44" t="s">
        <v>10</v>
      </c>
      <c r="H59" s="44" t="s">
        <v>100</v>
      </c>
      <c r="I59" s="44" t="s">
        <v>12</v>
      </c>
      <c r="J59" s="46">
        <v>131.25</v>
      </c>
      <c r="K59" s="46">
        <v>131.25</v>
      </c>
    </row>
    <row r="60" spans="2:11" ht="16">
      <c r="B60" s="44" t="s">
        <v>58</v>
      </c>
      <c r="C60" s="44" t="s">
        <v>7</v>
      </c>
      <c r="D60" s="44" t="s">
        <v>92</v>
      </c>
      <c r="E60" s="44" t="s">
        <v>52</v>
      </c>
      <c r="F60" s="44" t="s">
        <v>10</v>
      </c>
      <c r="G60" s="44" t="s">
        <v>10</v>
      </c>
      <c r="H60" s="44" t="s">
        <v>101</v>
      </c>
      <c r="I60" s="44" t="s">
        <v>12</v>
      </c>
      <c r="J60" s="46">
        <v>150.0</v>
      </c>
      <c r="K60" s="46">
        <v>281.25</v>
      </c>
    </row>
    <row r="61" spans="2:11" ht="16">
      <c r="B61" s="44" t="s">
        <v>102</v>
      </c>
      <c r="C61" s="44" t="s">
        <v>103</v>
      </c>
      <c r="D61" s="44" t="s">
        <v>104</v>
      </c>
      <c r="E61" s="44" t="s">
        <v>105</v>
      </c>
      <c r="F61" s="44" t="s">
        <v>10</v>
      </c>
      <c r="G61" s="44" t="s">
        <v>10</v>
      </c>
      <c r="H61" s="44" t="s">
        <v>10</v>
      </c>
      <c r="I61" s="44" t="s">
        <v>16</v>
      </c>
      <c r="J61" s="46">
        <v>-24.36</v>
      </c>
      <c r="K61" s="46">
        <v>256.89</v>
      </c>
    </row>
    <row r="62" spans="2:11" ht="16">
      <c r="B62" s="44" t="s">
        <v>64</v>
      </c>
      <c r="C62" s="44" t="s">
        <v>7</v>
      </c>
      <c r="D62" s="44" t="s">
        <v>106</v>
      </c>
      <c r="E62" s="44" t="s">
        <v>107</v>
      </c>
      <c r="F62" s="44" t="s">
        <v>10</v>
      </c>
      <c r="G62" s="44" t="s">
        <v>10</v>
      </c>
      <c r="H62" s="44" t="s">
        <v>100</v>
      </c>
      <c r="I62" s="44" t="s">
        <v>12</v>
      </c>
      <c r="J62" s="46">
        <v>1750.0</v>
      </c>
      <c r="K62" s="46">
        <v>2006.8899999999999</v>
      </c>
    </row>
    <row r="63" spans="2:11" ht="16">
      <c r="B63" s="44" t="s">
        <v>108</v>
      </c>
      <c r="C63" s="44" t="s">
        <v>103</v>
      </c>
      <c r="D63" s="44" t="s">
        <v>109</v>
      </c>
      <c r="E63" s="44" t="s">
        <v>110</v>
      </c>
      <c r="F63" s="44" t="s">
        <v>10</v>
      </c>
      <c r="G63" s="44" t="s">
        <v>10</v>
      </c>
      <c r="H63" s="44" t="s">
        <v>10</v>
      </c>
      <c r="I63" s="44" t="s">
        <v>111</v>
      </c>
      <c r="J63" s="46">
        <v>-54.92</v>
      </c>
      <c r="K63" s="46">
        <v>1951.9699999999998</v>
      </c>
    </row>
    <row r="64" spans="2:11" ht="16">
      <c r="B64" s="44" t="s">
        <v>73</v>
      </c>
      <c r="C64" s="44" t="s">
        <v>7</v>
      </c>
      <c r="D64" s="44" t="s">
        <v>93</v>
      </c>
      <c r="E64" s="44" t="s">
        <v>66</v>
      </c>
      <c r="F64" s="44" t="s">
        <v>10</v>
      </c>
      <c r="G64" s="44" t="s">
        <v>10</v>
      </c>
      <c r="H64" s="44" t="s">
        <v>100</v>
      </c>
      <c r="I64" s="44" t="s">
        <v>12</v>
      </c>
      <c r="J64" s="46">
        <v>300.0</v>
      </c>
      <c r="K64" s="46">
        <v>2251.97</v>
      </c>
    </row>
    <row r="65" spans="2:11" ht="16">
      <c r="B65" s="44" t="s">
        <v>79</v>
      </c>
      <c r="C65" s="44" t="s">
        <v>7</v>
      </c>
      <c r="D65" s="44" t="s">
        <v>80</v>
      </c>
      <c r="E65" s="44" t="s">
        <v>44</v>
      </c>
      <c r="F65" s="44" t="s">
        <v>10</v>
      </c>
      <c r="G65" s="44" t="s">
        <v>10</v>
      </c>
      <c r="H65" s="44" t="s">
        <v>100</v>
      </c>
      <c r="I65" s="44" t="s">
        <v>12</v>
      </c>
      <c r="J65" s="46">
        <v>50.0</v>
      </c>
      <c r="K65" s="46">
        <v>2301.97</v>
      </c>
    </row>
    <row r="66" spans="2:11" ht="16">
      <c r="B66" s="44" t="s">
        <v>79</v>
      </c>
      <c r="C66" s="44" t="s">
        <v>7</v>
      </c>
      <c r="D66" s="44" t="s">
        <v>80</v>
      </c>
      <c r="E66" s="44" t="s">
        <v>44</v>
      </c>
      <c r="F66" s="44" t="s">
        <v>10</v>
      </c>
      <c r="G66" s="44" t="s">
        <v>10</v>
      </c>
      <c r="H66" s="44" t="s">
        <v>101</v>
      </c>
      <c r="I66" s="44" t="s">
        <v>12</v>
      </c>
      <c r="J66" s="46">
        <v>50.0</v>
      </c>
      <c r="K66" s="46">
        <v>2351.97</v>
      </c>
    </row>
    <row r="67" spans="1:10" ht="16">
      <c r="A67" s="37" t="s">
        <v>112</v>
      </c>
      <c r="J67" s="47">
        <f>J59+J60+J61+J62+J63+J64+J65+J66</f>
        <v>2351.97</v>
      </c>
    </row>
    <row r="68" spans="1:1" ht="16">
      <c r="A68" s="35" t="s">
        <v>113</v>
      </c>
    </row>
    <row r="69" spans="2:11" ht="16">
      <c r="B69" s="44" t="s">
        <v>85</v>
      </c>
      <c r="C69" s="44" t="s">
        <v>7</v>
      </c>
      <c r="D69" s="44" t="s">
        <v>86</v>
      </c>
      <c r="E69" s="44" t="s">
        <v>87</v>
      </c>
      <c r="F69" s="44" t="s">
        <v>10</v>
      </c>
      <c r="G69" s="44" t="s">
        <v>10</v>
      </c>
      <c r="H69" s="44" t="s">
        <v>114</v>
      </c>
      <c r="I69" s="44" t="s">
        <v>12</v>
      </c>
      <c r="J69" s="46">
        <v>48.0</v>
      </c>
      <c r="K69" s="46">
        <v>48.0</v>
      </c>
    </row>
    <row r="70" spans="2:11" ht="16">
      <c r="B70" s="44" t="s">
        <v>85</v>
      </c>
      <c r="C70" s="44" t="s">
        <v>7</v>
      </c>
      <c r="D70" s="44" t="s">
        <v>86</v>
      </c>
      <c r="E70" s="44" t="s">
        <v>87</v>
      </c>
      <c r="F70" s="44" t="s">
        <v>10</v>
      </c>
      <c r="G70" s="44" t="s">
        <v>10</v>
      </c>
      <c r="H70" s="44" t="s">
        <v>114</v>
      </c>
      <c r="I70" s="44" t="s">
        <v>12</v>
      </c>
      <c r="J70" s="46">
        <v>60.0</v>
      </c>
      <c r="K70" s="46">
        <v>108.0</v>
      </c>
    </row>
    <row r="71" spans="2:11" ht="16">
      <c r="B71" s="44" t="s">
        <v>30</v>
      </c>
      <c r="C71" s="44" t="s">
        <v>7</v>
      </c>
      <c r="D71" s="44" t="s">
        <v>31</v>
      </c>
      <c r="E71" s="44" t="s">
        <v>32</v>
      </c>
      <c r="F71" s="44" t="s">
        <v>10</v>
      </c>
      <c r="G71" s="44" t="s">
        <v>10</v>
      </c>
      <c r="H71" s="44" t="s">
        <v>115</v>
      </c>
      <c r="I71" s="44" t="s">
        <v>12</v>
      </c>
      <c r="J71" s="46">
        <v>30.0</v>
      </c>
      <c r="K71" s="46">
        <v>138.0</v>
      </c>
    </row>
    <row r="72" spans="1:10" ht="16">
      <c r="A72" s="37" t="s">
        <v>116</v>
      </c>
      <c r="J72" s="47">
        <f>J69+J70+J71</f>
        <v>138.0</v>
      </c>
    </row>
    <row r="73" spans="1:10" ht="16">
      <c r="A73" s="38" t="s">
        <v>117</v>
      </c>
      <c r="J73" s="47">
        <f>J57+J67+J72</f>
        <v>4736.469999999999</v>
      </c>
    </row>
    <row r="74" spans="1:1" ht="16">
      <c r="A74" s="35" t="s">
        <v>118</v>
      </c>
    </row>
    <row r="75" spans="1:1" ht="16">
      <c r="A75" s="35" t="s">
        <v>119</v>
      </c>
    </row>
    <row r="76" spans="2:11" ht="16">
      <c r="B76" s="44" t="s">
        <v>20</v>
      </c>
      <c r="C76" s="44" t="s">
        <v>7</v>
      </c>
      <c r="D76" s="44" t="s">
        <v>23</v>
      </c>
      <c r="E76" s="44" t="s">
        <v>24</v>
      </c>
      <c r="F76" s="44" t="s">
        <v>10</v>
      </c>
      <c r="G76" s="44" t="s">
        <v>10</v>
      </c>
      <c r="H76" s="44" t="s">
        <v>120</v>
      </c>
      <c r="I76" s="44" t="s">
        <v>12</v>
      </c>
      <c r="J76" s="46">
        <v>250.0</v>
      </c>
      <c r="K76" s="46">
        <v>250.0</v>
      </c>
    </row>
    <row r="77" spans="1:10" ht="16">
      <c r="A77" s="37" t="s">
        <v>121</v>
      </c>
      <c r="J77" s="47">
        <f>J76</f>
        <v>250.0</v>
      </c>
    </row>
    <row r="78" spans="1:1" ht="16">
      <c r="A78" s="35" t="s">
        <v>122</v>
      </c>
    </row>
    <row r="79" spans="2:11" ht="16">
      <c r="B79" s="44" t="s">
        <v>50</v>
      </c>
      <c r="C79" s="44" t="s">
        <v>7</v>
      </c>
      <c r="D79" s="44" t="s">
        <v>51</v>
      </c>
      <c r="E79" s="44" t="s">
        <v>52</v>
      </c>
      <c r="F79" s="44" t="s">
        <v>10</v>
      </c>
      <c r="G79" s="44" t="s">
        <v>10</v>
      </c>
      <c r="H79" s="44" t="s">
        <v>123</v>
      </c>
      <c r="I79" s="44" t="s">
        <v>12</v>
      </c>
      <c r="J79" s="46">
        <v>50.0</v>
      </c>
      <c r="K79" s="46">
        <v>50.0</v>
      </c>
    </row>
    <row r="80" spans="1:10" ht="16">
      <c r="A80" s="37" t="s">
        <v>124</v>
      </c>
      <c r="J80" s="47">
        <f>J79</f>
        <v>50.0</v>
      </c>
    </row>
    <row r="81" spans="1:10" ht="16">
      <c r="A81" s="38" t="s">
        <v>125</v>
      </c>
      <c r="J81" s="47">
        <f>J77+J80</f>
        <v>300.0</v>
      </c>
    </row>
    <row r="82" spans="1:10" ht="16">
      <c r="A82" s="36" t="s">
        <v>126</v>
      </c>
      <c r="J82" s="47">
        <f>J40+J73+J81</f>
        <v>6513.969999999999</v>
      </c>
    </row>
    <row r="83" spans="1:1" ht="16">
      <c r="A83" s="35" t="s">
        <v>127</v>
      </c>
    </row>
    <row r="84" spans="2:11" ht="16">
      <c r="B84" s="44" t="s">
        <v>39</v>
      </c>
      <c r="C84" s="44" t="s">
        <v>7</v>
      </c>
      <c r="D84" s="44" t="s">
        <v>40</v>
      </c>
      <c r="E84" s="44" t="s">
        <v>41</v>
      </c>
      <c r="F84" s="44" t="s">
        <v>10</v>
      </c>
      <c r="G84" s="44" t="s">
        <v>10</v>
      </c>
      <c r="H84" s="44" t="s">
        <v>127</v>
      </c>
      <c r="I84" s="44" t="s">
        <v>12</v>
      </c>
      <c r="J84" s="46">
        <v>35.0</v>
      </c>
      <c r="K84" s="46">
        <v>35.0</v>
      </c>
    </row>
    <row r="85" spans="2:11" ht="16">
      <c r="B85" s="44" t="s">
        <v>39</v>
      </c>
      <c r="C85" s="44" t="s">
        <v>7</v>
      </c>
      <c r="D85" s="44" t="s">
        <v>43</v>
      </c>
      <c r="E85" s="44" t="s">
        <v>44</v>
      </c>
      <c r="F85" s="44" t="s">
        <v>10</v>
      </c>
      <c r="G85" s="44" t="s">
        <v>10</v>
      </c>
      <c r="H85" s="44" t="s">
        <v>127</v>
      </c>
      <c r="I85" s="44" t="s">
        <v>12</v>
      </c>
      <c r="J85" s="46">
        <v>35.0</v>
      </c>
      <c r="K85" s="46">
        <v>70.0</v>
      </c>
    </row>
    <row r="86" spans="2:11" ht="16">
      <c r="B86" s="44" t="s">
        <v>50</v>
      </c>
      <c r="C86" s="44" t="s">
        <v>7</v>
      </c>
      <c r="D86" s="44" t="s">
        <v>51</v>
      </c>
      <c r="E86" s="44" t="s">
        <v>52</v>
      </c>
      <c r="F86" s="44" t="s">
        <v>10</v>
      </c>
      <c r="G86" s="44" t="s">
        <v>10</v>
      </c>
      <c r="H86" s="44" t="s">
        <v>127</v>
      </c>
      <c r="I86" s="44" t="s">
        <v>12</v>
      </c>
      <c r="J86" s="46">
        <v>35.0</v>
      </c>
      <c r="K86" s="46">
        <v>105.0</v>
      </c>
    </row>
    <row r="87" spans="2:11" ht="16">
      <c r="B87" s="44" t="s">
        <v>50</v>
      </c>
      <c r="C87" s="44" t="s">
        <v>7</v>
      </c>
      <c r="D87" s="44" t="s">
        <v>53</v>
      </c>
      <c r="E87" s="44" t="s">
        <v>41</v>
      </c>
      <c r="F87" s="44" t="s">
        <v>10</v>
      </c>
      <c r="G87" s="44" t="s">
        <v>10</v>
      </c>
      <c r="H87" s="44" t="s">
        <v>127</v>
      </c>
      <c r="I87" s="44" t="s">
        <v>12</v>
      </c>
      <c r="J87" s="46">
        <v>35.0</v>
      </c>
      <c r="K87" s="46">
        <v>140.0</v>
      </c>
    </row>
    <row r="88" spans="2:11" ht="16">
      <c r="B88" s="44" t="s">
        <v>128</v>
      </c>
      <c r="C88" s="44" t="s">
        <v>129</v>
      </c>
      <c r="D88" s="44" t="s">
        <v>130</v>
      </c>
      <c r="E88" s="44" t="s">
        <v>52</v>
      </c>
      <c r="F88" s="44" t="s">
        <v>10</v>
      </c>
      <c r="G88" s="44" t="s">
        <v>10</v>
      </c>
      <c r="H88" s="44" t="s">
        <v>127</v>
      </c>
      <c r="I88" s="44" t="s">
        <v>12</v>
      </c>
      <c r="J88" s="46">
        <v>-100.0</v>
      </c>
      <c r="K88" s="46">
        <v>40.0</v>
      </c>
    </row>
    <row r="89" spans="2:11" ht="16">
      <c r="B89" s="44" t="s">
        <v>20</v>
      </c>
      <c r="C89" s="44" t="s">
        <v>13</v>
      </c>
      <c r="D89" s="44" t="s">
        <v>34</v>
      </c>
      <c r="E89" s="44" t="s">
        <v>35</v>
      </c>
      <c r="F89" s="44" t="s">
        <v>10</v>
      </c>
      <c r="G89" s="44" t="s">
        <v>10</v>
      </c>
      <c r="H89" s="44" t="s">
        <v>127</v>
      </c>
      <c r="I89" s="44" t="s">
        <v>36</v>
      </c>
      <c r="J89" s="46">
        <v>87.5</v>
      </c>
      <c r="K89" s="46">
        <v>127.5</v>
      </c>
    </row>
    <row r="90" spans="2:11" ht="16">
      <c r="B90" s="44" t="s">
        <v>20</v>
      </c>
      <c r="C90" s="44" t="s">
        <v>131</v>
      </c>
      <c r="D90" s="44" t="s">
        <v>132</v>
      </c>
      <c r="E90" s="44" t="s">
        <v>35</v>
      </c>
      <c r="F90" s="44" t="s">
        <v>10</v>
      </c>
      <c r="G90" s="44" t="s">
        <v>10</v>
      </c>
      <c r="H90" s="44" t="s">
        <v>133</v>
      </c>
      <c r="I90" s="44" t="s">
        <v>16</v>
      </c>
      <c r="J90" s="46">
        <v>-87.5</v>
      </c>
      <c r="K90" s="46">
        <v>40.0</v>
      </c>
    </row>
    <row r="91" spans="2:11" ht="16">
      <c r="B91" s="44" t="s">
        <v>20</v>
      </c>
      <c r="C91" s="44" t="s">
        <v>7</v>
      </c>
      <c r="D91" s="44" t="s">
        <v>134</v>
      </c>
      <c r="E91" s="44" t="s">
        <v>87</v>
      </c>
      <c r="F91" s="44" t="s">
        <v>10</v>
      </c>
      <c r="G91" s="44" t="s">
        <v>10</v>
      </c>
      <c r="H91" s="44" t="s">
        <v>127</v>
      </c>
      <c r="I91" s="44" t="s">
        <v>12</v>
      </c>
      <c r="J91" s="46">
        <v>70.0</v>
      </c>
      <c r="K91" s="46">
        <v>110.0</v>
      </c>
    </row>
    <row r="92" spans="1:10" ht="16">
      <c r="A92" s="36" t="s">
        <v>135</v>
      </c>
      <c r="J92" s="47">
        <f>J84+J85+J86+J87+J88+J89+J90+J91</f>
        <v>110.0</v>
      </c>
    </row>
    <row r="93" spans="1:1" ht="16">
      <c r="A93" s="35" t="s">
        <v>136</v>
      </c>
    </row>
    <row r="94" spans="2:11" ht="16">
      <c r="B94" s="44" t="s">
        <v>64</v>
      </c>
      <c r="C94" s="44" t="s">
        <v>7</v>
      </c>
      <c r="D94" s="44" t="s">
        <v>106</v>
      </c>
      <c r="E94" s="44" t="s">
        <v>107</v>
      </c>
      <c r="F94" s="44" t="s">
        <v>10</v>
      </c>
      <c r="G94" s="44" t="s">
        <v>10</v>
      </c>
      <c r="H94" s="44" t="s">
        <v>115</v>
      </c>
      <c r="I94" s="44" t="s">
        <v>12</v>
      </c>
      <c r="J94" s="46">
        <v>20.0</v>
      </c>
      <c r="K94" s="46">
        <v>20.0</v>
      </c>
    </row>
    <row r="95" spans="2:11" ht="16">
      <c r="B95" s="44" t="s">
        <v>64</v>
      </c>
      <c r="C95" s="44" t="s">
        <v>7</v>
      </c>
      <c r="D95" s="44" t="s">
        <v>106</v>
      </c>
      <c r="E95" s="44" t="s">
        <v>107</v>
      </c>
      <c r="F95" s="44" t="s">
        <v>10</v>
      </c>
      <c r="G95" s="44" t="s">
        <v>10</v>
      </c>
      <c r="H95" s="44" t="s">
        <v>114</v>
      </c>
      <c r="I95" s="44" t="s">
        <v>12</v>
      </c>
      <c r="J95" s="46">
        <v>24.0</v>
      </c>
      <c r="K95" s="46">
        <v>44.0</v>
      </c>
    </row>
    <row r="96" spans="2:11" ht="16">
      <c r="B96" s="44" t="s">
        <v>79</v>
      </c>
      <c r="C96" s="44" t="s">
        <v>7</v>
      </c>
      <c r="D96" s="44" t="s">
        <v>137</v>
      </c>
      <c r="E96" s="44" t="s">
        <v>138</v>
      </c>
      <c r="F96" s="44" t="s">
        <v>10</v>
      </c>
      <c r="G96" s="44" t="s">
        <v>10</v>
      </c>
      <c r="H96" s="44" t="s">
        <v>84</v>
      </c>
      <c r="I96" s="44" t="s">
        <v>12</v>
      </c>
      <c r="J96" s="46">
        <v>275.0</v>
      </c>
      <c r="K96" s="46">
        <v>319.0</v>
      </c>
    </row>
    <row r="97" spans="2:11" ht="16">
      <c r="B97" s="44" t="s">
        <v>79</v>
      </c>
      <c r="C97" s="44" t="s">
        <v>7</v>
      </c>
      <c r="D97" s="44" t="s">
        <v>137</v>
      </c>
      <c r="E97" s="44" t="s">
        <v>138</v>
      </c>
      <c r="F97" s="44" t="s">
        <v>10</v>
      </c>
      <c r="G97" s="44" t="s">
        <v>10</v>
      </c>
      <c r="H97" s="44" t="s">
        <v>114</v>
      </c>
      <c r="I97" s="44" t="s">
        <v>12</v>
      </c>
      <c r="J97" s="46">
        <v>16.0</v>
      </c>
      <c r="K97" s="46">
        <v>335.0</v>
      </c>
    </row>
    <row r="98" spans="2:11" ht="16">
      <c r="B98" s="44" t="s">
        <v>79</v>
      </c>
      <c r="C98" s="44" t="s">
        <v>7</v>
      </c>
      <c r="D98" s="44" t="s">
        <v>80</v>
      </c>
      <c r="E98" s="44" t="s">
        <v>44</v>
      </c>
      <c r="F98" s="44" t="s">
        <v>10</v>
      </c>
      <c r="G98" s="44" t="s">
        <v>10</v>
      </c>
      <c r="H98" s="44" t="s">
        <v>84</v>
      </c>
      <c r="I98" s="44" t="s">
        <v>12</v>
      </c>
      <c r="J98" s="46">
        <v>275.0</v>
      </c>
      <c r="K98" s="46">
        <v>610.0</v>
      </c>
    </row>
    <row r="99" spans="2:11" ht="16">
      <c r="B99" s="44" t="s">
        <v>79</v>
      </c>
      <c r="C99" s="44" t="s">
        <v>7</v>
      </c>
      <c r="D99" s="44" t="s">
        <v>80</v>
      </c>
      <c r="E99" s="44" t="s">
        <v>44</v>
      </c>
      <c r="F99" s="44" t="s">
        <v>10</v>
      </c>
      <c r="G99" s="44" t="s">
        <v>10</v>
      </c>
      <c r="H99" s="44" t="s">
        <v>94</v>
      </c>
      <c r="I99" s="44" t="s">
        <v>12</v>
      </c>
      <c r="J99" s="46">
        <v>15.0</v>
      </c>
      <c r="K99" s="46">
        <v>625.0</v>
      </c>
    </row>
    <row r="100" spans="2:11" ht="16">
      <c r="B100" s="44" t="s">
        <v>79</v>
      </c>
      <c r="C100" s="44" t="s">
        <v>7</v>
      </c>
      <c r="D100" s="44" t="s">
        <v>96</v>
      </c>
      <c r="E100" s="44" t="s">
        <v>97</v>
      </c>
      <c r="F100" s="44" t="s">
        <v>10</v>
      </c>
      <c r="G100" s="44" t="s">
        <v>10</v>
      </c>
      <c r="H100" s="44" t="s">
        <v>84</v>
      </c>
      <c r="I100" s="44" t="s">
        <v>12</v>
      </c>
      <c r="J100" s="46">
        <v>275.0</v>
      </c>
      <c r="K100" s="46">
        <v>900.0</v>
      </c>
    </row>
    <row r="101" spans="2:11" ht="16">
      <c r="B101" s="44" t="s">
        <v>79</v>
      </c>
      <c r="C101" s="44" t="s">
        <v>7</v>
      </c>
      <c r="D101" s="44" t="s">
        <v>96</v>
      </c>
      <c r="E101" s="44" t="s">
        <v>97</v>
      </c>
      <c r="F101" s="44" t="s">
        <v>10</v>
      </c>
      <c r="G101" s="44" t="s">
        <v>10</v>
      </c>
      <c r="H101" s="44" t="s">
        <v>94</v>
      </c>
      <c r="I101" s="44" t="s">
        <v>12</v>
      </c>
      <c r="J101" s="46">
        <v>12.75</v>
      </c>
      <c r="K101" s="46">
        <v>912.75</v>
      </c>
    </row>
    <row r="102" spans="1:10" ht="16">
      <c r="A102" s="36" t="s">
        <v>139</v>
      </c>
      <c r="J102" s="47">
        <f>J94+J95+J96+J97+J98+J99+J100+J101</f>
        <v>912.75</v>
      </c>
    </row>
    <row r="103" spans="1:1" ht="16">
      <c r="A103" s="35" t="s">
        <v>140</v>
      </c>
    </row>
    <row r="104" spans="2:11" ht="16">
      <c r="B104" s="44" t="s">
        <v>64</v>
      </c>
      <c r="C104" s="44" t="s">
        <v>7</v>
      </c>
      <c r="D104" s="44" t="s">
        <v>106</v>
      </c>
      <c r="E104" s="44" t="s">
        <v>107</v>
      </c>
      <c r="F104" s="44" t="s">
        <v>10</v>
      </c>
      <c r="G104" s="44" t="s">
        <v>10</v>
      </c>
      <c r="H104" s="44" t="s">
        <v>141</v>
      </c>
      <c r="I104" s="44" t="s">
        <v>12</v>
      </c>
      <c r="J104" s="46">
        <v>400.0</v>
      </c>
      <c r="K104" s="46">
        <v>400.0</v>
      </c>
    </row>
    <row r="105" spans="2:11" ht="16">
      <c r="B105" s="44" t="s">
        <v>73</v>
      </c>
      <c r="C105" s="44" t="s">
        <v>7</v>
      </c>
      <c r="D105" s="44" t="s">
        <v>142</v>
      </c>
      <c r="E105" s="44" t="s">
        <v>66</v>
      </c>
      <c r="F105" s="44" t="s">
        <v>10</v>
      </c>
      <c r="G105" s="44" t="s">
        <v>10</v>
      </c>
      <c r="H105" s="44" t="s">
        <v>143</v>
      </c>
      <c r="I105" s="44" t="s">
        <v>12</v>
      </c>
      <c r="J105" s="46">
        <v>103.55</v>
      </c>
      <c r="K105" s="46">
        <v>503.55</v>
      </c>
    </row>
    <row r="106" spans="1:10" ht="16">
      <c r="A106" s="36" t="s">
        <v>144</v>
      </c>
      <c r="J106" s="47">
        <f>J104+J105</f>
        <v>503.55</v>
      </c>
    </row>
    <row r="107" spans="1:10" ht="16">
      <c r="A107" s="39" t="s">
        <v>145</v>
      </c>
      <c r="J107" s="47">
        <f>J15+J20+J82+J92+J102+J106</f>
        <v>10200.769999999999</v>
      </c>
    </row>
    <row r="108" spans="1:1" ht="16">
      <c r="A108" s="35" t="s">
        <v>146</v>
      </c>
    </row>
    <row r="109" spans="1:1" ht="16">
      <c r="A109" s="35" t="s">
        <v>146</v>
      </c>
    </row>
    <row r="110" spans="2:11" ht="16">
      <c r="B110" s="44" t="s">
        <v>79</v>
      </c>
      <c r="C110" s="44" t="s">
        <v>7</v>
      </c>
      <c r="D110" s="44" t="s">
        <v>137</v>
      </c>
      <c r="E110" s="44" t="s">
        <v>138</v>
      </c>
      <c r="F110" s="44" t="s">
        <v>10</v>
      </c>
      <c r="G110" s="44" t="s">
        <v>10</v>
      </c>
      <c r="H110" s="44" t="s">
        <v>84</v>
      </c>
      <c r="I110" s="44" t="s">
        <v>12</v>
      </c>
      <c r="J110" s="46">
        <v>125.0</v>
      </c>
      <c r="K110" s="46">
        <v>125.0</v>
      </c>
    </row>
    <row r="111" spans="2:11" ht="16">
      <c r="B111" s="44" t="s">
        <v>79</v>
      </c>
      <c r="C111" s="44" t="s">
        <v>7</v>
      </c>
      <c r="D111" s="44" t="s">
        <v>137</v>
      </c>
      <c r="E111" s="44" t="s">
        <v>138</v>
      </c>
      <c r="F111" s="44" t="s">
        <v>10</v>
      </c>
      <c r="G111" s="44" t="s">
        <v>10</v>
      </c>
      <c r="H111" s="44" t="s">
        <v>114</v>
      </c>
      <c r="I111" s="44" t="s">
        <v>12</v>
      </c>
      <c r="J111" s="46">
        <v>10.0</v>
      </c>
      <c r="K111" s="46">
        <v>135.0</v>
      </c>
    </row>
    <row r="112" spans="2:11" ht="16">
      <c r="B112" s="44" t="s">
        <v>79</v>
      </c>
      <c r="C112" s="44" t="s">
        <v>7</v>
      </c>
      <c r="D112" s="44" t="s">
        <v>80</v>
      </c>
      <c r="E112" s="44" t="s">
        <v>44</v>
      </c>
      <c r="F112" s="44" t="s">
        <v>10</v>
      </c>
      <c r="G112" s="44" t="s">
        <v>10</v>
      </c>
      <c r="H112" s="44" t="s">
        <v>84</v>
      </c>
      <c r="I112" s="44" t="s">
        <v>12</v>
      </c>
      <c r="J112" s="46">
        <v>125.0</v>
      </c>
      <c r="K112" s="46">
        <v>260.0</v>
      </c>
    </row>
    <row r="113" spans="2:11" ht="16">
      <c r="B113" s="44" t="s">
        <v>79</v>
      </c>
      <c r="C113" s="44" t="s">
        <v>7</v>
      </c>
      <c r="D113" s="44" t="s">
        <v>80</v>
      </c>
      <c r="E113" s="44" t="s">
        <v>44</v>
      </c>
      <c r="F113" s="44" t="s">
        <v>10</v>
      </c>
      <c r="G113" s="44" t="s">
        <v>10</v>
      </c>
      <c r="H113" s="44" t="s">
        <v>94</v>
      </c>
      <c r="I113" s="44" t="s">
        <v>12</v>
      </c>
      <c r="J113" s="46">
        <v>10.0</v>
      </c>
      <c r="K113" s="46">
        <v>270.0</v>
      </c>
    </row>
    <row r="114" spans="2:11" ht="16">
      <c r="B114" s="44" t="s">
        <v>79</v>
      </c>
      <c r="C114" s="44" t="s">
        <v>7</v>
      </c>
      <c r="D114" s="44" t="s">
        <v>96</v>
      </c>
      <c r="E114" s="44" t="s">
        <v>97</v>
      </c>
      <c r="F114" s="44" t="s">
        <v>10</v>
      </c>
      <c r="G114" s="44" t="s">
        <v>10</v>
      </c>
      <c r="H114" s="44" t="s">
        <v>84</v>
      </c>
      <c r="I114" s="44" t="s">
        <v>12</v>
      </c>
      <c r="J114" s="46">
        <v>125.0</v>
      </c>
      <c r="K114" s="46">
        <v>395.0</v>
      </c>
    </row>
    <row r="115" spans="2:11" ht="16">
      <c r="B115" s="44" t="s">
        <v>79</v>
      </c>
      <c r="C115" s="44" t="s">
        <v>7</v>
      </c>
      <c r="D115" s="44" t="s">
        <v>96</v>
      </c>
      <c r="E115" s="44" t="s">
        <v>97</v>
      </c>
      <c r="F115" s="44" t="s">
        <v>10</v>
      </c>
      <c r="G115" s="44" t="s">
        <v>10</v>
      </c>
      <c r="H115" s="44" t="s">
        <v>94</v>
      </c>
      <c r="I115" s="44" t="s">
        <v>12</v>
      </c>
      <c r="J115" s="46">
        <v>10.0</v>
      </c>
      <c r="K115" s="46">
        <v>405.0</v>
      </c>
    </row>
    <row r="116" spans="1:10" ht="16">
      <c r="A116" s="36" t="s">
        <v>147</v>
      </c>
      <c r="J116" s="47">
        <f>J110+J111+J112+J113+J114+J115</f>
        <v>405.0</v>
      </c>
    </row>
    <row r="117" spans="1:10" ht="16">
      <c r="A117" s="39" t="s">
        <v>148</v>
      </c>
      <c r="J117" s="47">
        <f>J116</f>
        <v>405.0</v>
      </c>
    </row>
    <row r="118" spans="1:10" ht="16">
      <c r="A118" s="39" t="s">
        <v>149</v>
      </c>
      <c r="J118" s="47">
        <f>J107-J117</f>
        <v>9795.769999999999</v>
      </c>
    </row>
    <row r="119" spans="1:1" ht="16">
      <c r="A119" s="35" t="s">
        <v>150</v>
      </c>
    </row>
    <row r="120" spans="1:1" ht="16">
      <c r="A120" s="35" t="s">
        <v>151</v>
      </c>
    </row>
    <row r="121" spans="2:11" ht="16">
      <c r="B121" s="44" t="s">
        <v>20</v>
      </c>
      <c r="C121" s="44" t="s">
        <v>103</v>
      </c>
      <c r="D121" s="44" t="s">
        <v>10</v>
      </c>
      <c r="E121" s="44" t="s">
        <v>152</v>
      </c>
      <c r="F121" s="44" t="s">
        <v>10</v>
      </c>
      <c r="G121" s="44" t="s">
        <v>10</v>
      </c>
      <c r="H121" s="44" t="s">
        <v>10</v>
      </c>
      <c r="I121" s="44" t="s">
        <v>111</v>
      </c>
      <c r="J121" s="46">
        <v>74.86</v>
      </c>
      <c r="K121" s="46">
        <v>74.86</v>
      </c>
    </row>
    <row r="122" spans="1:10" ht="16">
      <c r="A122" s="36" t="s">
        <v>153</v>
      </c>
      <c r="J122" s="47">
        <f>J121</f>
        <v>74.86</v>
      </c>
    </row>
    <row r="123" spans="1:1" ht="16">
      <c r="A123" s="35" t="s">
        <v>154</v>
      </c>
    </row>
    <row r="124" spans="2:11" ht="16">
      <c r="B124" s="44" t="s">
        <v>67</v>
      </c>
      <c r="C124" s="44" t="s">
        <v>155</v>
      </c>
      <c r="D124" s="44" t="s">
        <v>10</v>
      </c>
      <c r="E124" s="44" t="s">
        <v>156</v>
      </c>
      <c r="F124" s="44" t="s">
        <v>10</v>
      </c>
      <c r="G124" s="44" t="s">
        <v>10</v>
      </c>
      <c r="H124" s="44" t="s">
        <v>10</v>
      </c>
      <c r="I124" s="44" t="s">
        <v>16</v>
      </c>
      <c r="J124" s="46">
        <v>19.99</v>
      </c>
      <c r="K124" s="46">
        <v>19.99</v>
      </c>
    </row>
    <row r="125" spans="2:11" ht="16">
      <c r="B125" s="44" t="s">
        <v>20</v>
      </c>
      <c r="C125" s="44" t="s">
        <v>157</v>
      </c>
      <c r="D125" s="44" t="s">
        <v>158</v>
      </c>
      <c r="E125" s="44" t="s">
        <v>156</v>
      </c>
      <c r="F125" s="44" t="s">
        <v>10</v>
      </c>
      <c r="G125" s="44" t="s">
        <v>10</v>
      </c>
      <c r="H125" s="44" t="s">
        <v>10</v>
      </c>
      <c r="I125" s="44" t="s">
        <v>16</v>
      </c>
      <c r="J125" s="46">
        <v>19.99</v>
      </c>
      <c r="K125" s="46">
        <v>39.98</v>
      </c>
    </row>
    <row r="126" spans="2:11" ht="16">
      <c r="B126" s="44" t="s">
        <v>159</v>
      </c>
      <c r="C126" s="44" t="s">
        <v>160</v>
      </c>
      <c r="D126" s="44" t="s">
        <v>10</v>
      </c>
      <c r="E126" s="44" t="s">
        <v>156</v>
      </c>
      <c r="F126" s="44" t="s">
        <v>10</v>
      </c>
      <c r="G126" s="44" t="s">
        <v>10</v>
      </c>
      <c r="H126" s="44" t="s">
        <v>10</v>
      </c>
      <c r="I126" s="44" t="s">
        <v>111</v>
      </c>
      <c r="J126" s="46">
        <v>19.99</v>
      </c>
      <c r="K126" s="46">
        <v>59.97</v>
      </c>
    </row>
    <row r="127" spans="2:11" ht="16">
      <c r="B127" s="44" t="s">
        <v>161</v>
      </c>
      <c r="C127" s="44" t="s">
        <v>160</v>
      </c>
      <c r="D127" s="44" t="s">
        <v>10</v>
      </c>
      <c r="E127" s="44" t="s">
        <v>156</v>
      </c>
      <c r="F127" s="44" t="s">
        <v>10</v>
      </c>
      <c r="G127" s="44" t="s">
        <v>10</v>
      </c>
      <c r="H127" s="44" t="s">
        <v>10</v>
      </c>
      <c r="I127" s="44" t="s">
        <v>111</v>
      </c>
      <c r="J127" s="46">
        <v>19.99</v>
      </c>
      <c r="K127" s="46">
        <v>79.96</v>
      </c>
    </row>
    <row r="128" spans="2:11" ht="16">
      <c r="B128" s="44" t="s">
        <v>162</v>
      </c>
      <c r="C128" s="44" t="s">
        <v>160</v>
      </c>
      <c r="D128" s="44" t="s">
        <v>10</v>
      </c>
      <c r="E128" s="44" t="s">
        <v>10</v>
      </c>
      <c r="F128" s="44" t="s">
        <v>10</v>
      </c>
      <c r="G128" s="44" t="s">
        <v>10</v>
      </c>
      <c r="H128" s="44" t="s">
        <v>10</v>
      </c>
      <c r="I128" s="44" t="s">
        <v>111</v>
      </c>
      <c r="J128" s="46">
        <v>34.0</v>
      </c>
      <c r="K128" s="46">
        <v>113.96</v>
      </c>
    </row>
    <row r="129" spans="1:10" ht="16">
      <c r="A129" s="36" t="s">
        <v>163</v>
      </c>
      <c r="J129" s="47">
        <f>J124+J125+J126+J127+J128</f>
        <v>113.96</v>
      </c>
    </row>
    <row r="130" spans="1:1" ht="16">
      <c r="A130" s="35" t="s">
        <v>164</v>
      </c>
    </row>
    <row r="131" spans="2:11" ht="16">
      <c r="B131" s="44" t="s">
        <v>165</v>
      </c>
      <c r="C131" s="44" t="s">
        <v>157</v>
      </c>
      <c r="D131" s="44" t="s">
        <v>166</v>
      </c>
      <c r="E131" s="44" t="s">
        <v>167</v>
      </c>
      <c r="F131" s="44" t="s">
        <v>10</v>
      </c>
      <c r="G131" s="44" t="s">
        <v>10</v>
      </c>
      <c r="H131" s="44" t="s">
        <v>10</v>
      </c>
      <c r="I131" s="44" t="s">
        <v>16</v>
      </c>
      <c r="J131" s="46">
        <v>54.55</v>
      </c>
      <c r="K131" s="46">
        <v>54.55</v>
      </c>
    </row>
    <row r="132" spans="2:11" ht="16">
      <c r="B132" s="44" t="s">
        <v>168</v>
      </c>
      <c r="C132" s="44" t="s">
        <v>157</v>
      </c>
      <c r="D132" s="44" t="s">
        <v>169</v>
      </c>
      <c r="E132" s="44" t="s">
        <v>167</v>
      </c>
      <c r="F132" s="44" t="s">
        <v>10</v>
      </c>
      <c r="G132" s="44" t="s">
        <v>10</v>
      </c>
      <c r="H132" s="44" t="s">
        <v>10</v>
      </c>
      <c r="I132" s="44" t="s">
        <v>16</v>
      </c>
      <c r="J132" s="46">
        <v>62.01</v>
      </c>
      <c r="K132" s="46">
        <v>116.56</v>
      </c>
    </row>
    <row r="133" spans="2:11" ht="16">
      <c r="B133" s="44" t="s">
        <v>170</v>
      </c>
      <c r="C133" s="44" t="s">
        <v>103</v>
      </c>
      <c r="D133" s="44" t="s">
        <v>171</v>
      </c>
      <c r="E133" s="44" t="s">
        <v>167</v>
      </c>
      <c r="F133" s="44" t="s">
        <v>10</v>
      </c>
      <c r="G133" s="44" t="s">
        <v>10</v>
      </c>
      <c r="H133" s="44" t="s">
        <v>10</v>
      </c>
      <c r="I133" s="44" t="s">
        <v>111</v>
      </c>
      <c r="J133" s="46">
        <v>65.0</v>
      </c>
      <c r="K133" s="46">
        <v>181.56</v>
      </c>
    </row>
    <row r="134" spans="2:11" ht="16">
      <c r="B134" s="44" t="s">
        <v>172</v>
      </c>
      <c r="C134" s="44" t="s">
        <v>155</v>
      </c>
      <c r="D134" s="44" t="s">
        <v>10</v>
      </c>
      <c r="E134" s="44" t="s">
        <v>167</v>
      </c>
      <c r="F134" s="44" t="s">
        <v>10</v>
      </c>
      <c r="G134" s="44" t="s">
        <v>10</v>
      </c>
      <c r="H134" s="44" t="s">
        <v>10</v>
      </c>
      <c r="I134" s="44" t="s">
        <v>16</v>
      </c>
      <c r="J134" s="46">
        <v>52.14</v>
      </c>
      <c r="K134" s="46">
        <v>233.7</v>
      </c>
    </row>
    <row r="135" spans="2:11" ht="16">
      <c r="B135" s="44" t="s">
        <v>25</v>
      </c>
      <c r="C135" s="44" t="s">
        <v>155</v>
      </c>
      <c r="D135" s="44" t="s">
        <v>10</v>
      </c>
      <c r="E135" s="44" t="s">
        <v>167</v>
      </c>
      <c r="F135" s="44" t="s">
        <v>10</v>
      </c>
      <c r="G135" s="44" t="s">
        <v>10</v>
      </c>
      <c r="H135" s="44" t="s">
        <v>10</v>
      </c>
      <c r="I135" s="44" t="s">
        <v>16</v>
      </c>
      <c r="J135" s="46">
        <v>63.15</v>
      </c>
      <c r="K135" s="46">
        <v>296.84999999999997</v>
      </c>
    </row>
    <row r="136" spans="2:11" ht="16">
      <c r="B136" s="44" t="s">
        <v>79</v>
      </c>
      <c r="C136" s="44" t="s">
        <v>103</v>
      </c>
      <c r="D136" s="44" t="s">
        <v>171</v>
      </c>
      <c r="E136" s="44" t="s">
        <v>167</v>
      </c>
      <c r="F136" s="44" t="s">
        <v>10</v>
      </c>
      <c r="G136" s="44" t="s">
        <v>10</v>
      </c>
      <c r="H136" s="44" t="s">
        <v>10</v>
      </c>
      <c r="I136" s="44" t="s">
        <v>111</v>
      </c>
      <c r="J136" s="46">
        <v>52.56</v>
      </c>
      <c r="K136" s="46">
        <v>349.40999999999997</v>
      </c>
    </row>
    <row r="137" spans="1:10" ht="16">
      <c r="A137" s="38" t="s">
        <v>173</v>
      </c>
      <c r="J137" s="47">
        <f>J131+J132+J133+J134+J135+J136</f>
        <v>349.40999999999997</v>
      </c>
    </row>
    <row r="138" spans="1:10" ht="16">
      <c r="A138" s="36" t="s">
        <v>174</v>
      </c>
      <c r="J138" s="47">
        <f>J129+J137</f>
        <v>463.36999999999995</v>
      </c>
    </row>
    <row r="139" spans="1:1" ht="16">
      <c r="A139" s="35" t="s">
        <v>175</v>
      </c>
    </row>
    <row r="140" spans="2:11" ht="16">
      <c r="B140" s="44" t="s">
        <v>20</v>
      </c>
      <c r="C140" s="44" t="s">
        <v>103</v>
      </c>
      <c r="D140" s="44" t="s">
        <v>171</v>
      </c>
      <c r="E140" s="44" t="s">
        <v>176</v>
      </c>
      <c r="F140" s="44" t="s">
        <v>10</v>
      </c>
      <c r="G140" s="44" t="s">
        <v>10</v>
      </c>
      <c r="H140" s="44" t="s">
        <v>177</v>
      </c>
      <c r="I140" s="44" t="s">
        <v>111</v>
      </c>
      <c r="J140" s="46">
        <v>112.0</v>
      </c>
      <c r="K140" s="46">
        <v>112.0</v>
      </c>
    </row>
    <row r="141" spans="1:10" ht="16">
      <c r="A141" s="36" t="s">
        <v>178</v>
      </c>
      <c r="J141" s="47">
        <f>J140</f>
        <v>112.0</v>
      </c>
    </row>
    <row r="142" spans="1:1" ht="16">
      <c r="A142" s="35" t="s">
        <v>179</v>
      </c>
    </row>
    <row r="143" spans="2:11" ht="16">
      <c r="B143" s="44" t="s">
        <v>180</v>
      </c>
      <c r="C143" s="44" t="s">
        <v>181</v>
      </c>
      <c r="D143" s="44" t="s">
        <v>10</v>
      </c>
      <c r="E143" s="44" t="s">
        <v>182</v>
      </c>
      <c r="F143" s="44" t="s">
        <v>10</v>
      </c>
      <c r="G143" s="44" t="s">
        <v>10</v>
      </c>
      <c r="H143" s="44" t="s">
        <v>10</v>
      </c>
      <c r="I143" s="44" t="s">
        <v>183</v>
      </c>
      <c r="J143" s="46">
        <v>241.23</v>
      </c>
      <c r="K143" s="46">
        <v>241.23</v>
      </c>
    </row>
    <row r="144" spans="1:10" ht="16">
      <c r="A144" s="36" t="s">
        <v>184</v>
      </c>
      <c r="J144" s="47">
        <f>J143</f>
        <v>241.23</v>
      </c>
    </row>
    <row r="145" spans="1:1" ht="16">
      <c r="A145" s="35" t="s">
        <v>185</v>
      </c>
    </row>
    <row r="146" spans="2:11" ht="16">
      <c r="B146" s="44" t="s">
        <v>186</v>
      </c>
      <c r="C146" s="44" t="s">
        <v>103</v>
      </c>
      <c r="D146" s="44" t="s">
        <v>187</v>
      </c>
      <c r="E146" s="44" t="s">
        <v>110</v>
      </c>
      <c r="F146" s="44" t="s">
        <v>10</v>
      </c>
      <c r="G146" s="44" t="s">
        <v>10</v>
      </c>
      <c r="H146" s="44" t="s">
        <v>10</v>
      </c>
      <c r="I146" s="44" t="s">
        <v>16</v>
      </c>
      <c r="J146" s="46">
        <v>108.09</v>
      </c>
      <c r="K146" s="46">
        <v>108.09</v>
      </c>
    </row>
    <row r="147" spans="2:11" ht="16">
      <c r="B147" s="44" t="s">
        <v>25</v>
      </c>
      <c r="C147" s="44" t="s">
        <v>103</v>
      </c>
      <c r="D147" s="44" t="s">
        <v>188</v>
      </c>
      <c r="E147" s="44" t="s">
        <v>110</v>
      </c>
      <c r="F147" s="44" t="s">
        <v>10</v>
      </c>
      <c r="G147" s="44" t="s">
        <v>10</v>
      </c>
      <c r="H147" s="44" t="s">
        <v>10</v>
      </c>
      <c r="I147" s="44" t="s">
        <v>16</v>
      </c>
      <c r="J147" s="46">
        <v>46.98</v>
      </c>
      <c r="K147" s="46">
        <v>155.07</v>
      </c>
    </row>
    <row r="148" spans="1:10" ht="16">
      <c r="A148" s="36" t="s">
        <v>189</v>
      </c>
      <c r="J148" s="47">
        <f>J146+J147</f>
        <v>155.07</v>
      </c>
    </row>
    <row r="149" spans="1:1" ht="16">
      <c r="A149" s="35" t="s">
        <v>82</v>
      </c>
    </row>
    <row r="150" spans="1:1" ht="16">
      <c r="A150" s="35" t="s">
        <v>190</v>
      </c>
    </row>
    <row r="151" spans="2:11" ht="16">
      <c r="B151" s="44" t="s">
        <v>64</v>
      </c>
      <c r="C151" s="44" t="s">
        <v>103</v>
      </c>
      <c r="D151" s="44" t="s">
        <v>171</v>
      </c>
      <c r="E151" s="44" t="s">
        <v>105</v>
      </c>
      <c r="F151" s="44" t="s">
        <v>10</v>
      </c>
      <c r="G151" s="44" t="s">
        <v>10</v>
      </c>
      <c r="H151" s="44" t="s">
        <v>10</v>
      </c>
      <c r="I151" s="44" t="s">
        <v>111</v>
      </c>
      <c r="J151" s="46">
        <v>88.09</v>
      </c>
      <c r="K151" s="46">
        <v>88.09</v>
      </c>
    </row>
    <row r="152" spans="2:11" ht="16">
      <c r="B152" s="44" t="s">
        <v>73</v>
      </c>
      <c r="C152" s="44" t="s">
        <v>181</v>
      </c>
      <c r="D152" s="44" t="s">
        <v>10</v>
      </c>
      <c r="E152" s="44" t="s">
        <v>191</v>
      </c>
      <c r="F152" s="44" t="s">
        <v>10</v>
      </c>
      <c r="G152" s="44" t="s">
        <v>10</v>
      </c>
      <c r="H152" s="44" t="s">
        <v>143</v>
      </c>
      <c r="I152" s="44" t="s">
        <v>183</v>
      </c>
      <c r="J152" s="46">
        <v>103.55</v>
      </c>
      <c r="K152" s="46">
        <v>191.64</v>
      </c>
    </row>
    <row r="153" spans="2:11" ht="16">
      <c r="B153" s="44" t="s">
        <v>192</v>
      </c>
      <c r="C153" s="44" t="s">
        <v>160</v>
      </c>
      <c r="D153" s="44" t="s">
        <v>10</v>
      </c>
      <c r="E153" s="44" t="s">
        <v>105</v>
      </c>
      <c r="F153" s="44" t="s">
        <v>10</v>
      </c>
      <c r="G153" s="44" t="s">
        <v>10</v>
      </c>
      <c r="H153" s="44" t="s">
        <v>10</v>
      </c>
      <c r="I153" s="44" t="s">
        <v>111</v>
      </c>
      <c r="J153" s="46">
        <v>42.4</v>
      </c>
      <c r="K153" s="46">
        <v>234.04</v>
      </c>
    </row>
    <row r="154" spans="1:10" ht="16">
      <c r="A154" s="37" t="s">
        <v>193</v>
      </c>
      <c r="J154" s="47">
        <f>J151+J152+J153</f>
        <v>234.04</v>
      </c>
    </row>
    <row r="155" spans="1:1" ht="16">
      <c r="A155" s="35" t="s">
        <v>99</v>
      </c>
    </row>
    <row r="156" spans="2:11" ht="16">
      <c r="B156" s="44" t="s">
        <v>194</v>
      </c>
      <c r="C156" s="44" t="s">
        <v>103</v>
      </c>
      <c r="D156" s="44" t="s">
        <v>195</v>
      </c>
      <c r="E156" s="44" t="s">
        <v>110</v>
      </c>
      <c r="F156" s="44" t="s">
        <v>10</v>
      </c>
      <c r="G156" s="44" t="s">
        <v>10</v>
      </c>
      <c r="H156" s="44" t="s">
        <v>10</v>
      </c>
      <c r="I156" s="44" t="s">
        <v>111</v>
      </c>
      <c r="J156" s="46">
        <v>158.08</v>
      </c>
      <c r="K156" s="46">
        <v>158.08</v>
      </c>
    </row>
    <row r="157" spans="2:11" ht="16">
      <c r="B157" s="44" t="s">
        <v>196</v>
      </c>
      <c r="C157" s="44" t="s">
        <v>103</v>
      </c>
      <c r="D157" s="44" t="s">
        <v>197</v>
      </c>
      <c r="E157" s="44" t="s">
        <v>110</v>
      </c>
      <c r="F157" s="44" t="s">
        <v>10</v>
      </c>
      <c r="G157" s="44" t="s">
        <v>10</v>
      </c>
      <c r="H157" s="44" t="s">
        <v>198</v>
      </c>
      <c r="I157" s="44" t="s">
        <v>16</v>
      </c>
      <c r="J157" s="46">
        <v>89.09</v>
      </c>
      <c r="K157" s="46">
        <v>247.17000000000002</v>
      </c>
    </row>
    <row r="158" spans="2:11" ht="16">
      <c r="B158" s="44" t="s">
        <v>199</v>
      </c>
      <c r="C158" s="44" t="s">
        <v>103</v>
      </c>
      <c r="D158" s="44" t="s">
        <v>200</v>
      </c>
      <c r="E158" s="44" t="s">
        <v>110</v>
      </c>
      <c r="F158" s="44" t="s">
        <v>10</v>
      </c>
      <c r="G158" s="44" t="s">
        <v>10</v>
      </c>
      <c r="H158" s="44" t="s">
        <v>10</v>
      </c>
      <c r="I158" s="44" t="s">
        <v>111</v>
      </c>
      <c r="J158" s="46">
        <v>82.45</v>
      </c>
      <c r="K158" s="46">
        <v>329.62</v>
      </c>
    </row>
    <row r="159" spans="2:11" ht="16">
      <c r="B159" s="44" t="s">
        <v>201</v>
      </c>
      <c r="C159" s="44" t="s">
        <v>155</v>
      </c>
      <c r="D159" s="44" t="s">
        <v>10</v>
      </c>
      <c r="E159" s="44" t="s">
        <v>110</v>
      </c>
      <c r="F159" s="44" t="s">
        <v>10</v>
      </c>
      <c r="G159" s="44" t="s">
        <v>10</v>
      </c>
      <c r="H159" s="44" t="s">
        <v>10</v>
      </c>
      <c r="I159" s="44" t="s">
        <v>16</v>
      </c>
      <c r="J159" s="46">
        <v>23.5</v>
      </c>
      <c r="K159" s="46">
        <v>353.12</v>
      </c>
    </row>
    <row r="160" spans="1:10" ht="16">
      <c r="A160" s="37" t="s">
        <v>112</v>
      </c>
      <c r="J160" s="47">
        <f>J156+J157+J158+J159</f>
        <v>353.12</v>
      </c>
    </row>
    <row r="161" spans="1:1" ht="16">
      <c r="A161" s="35" t="s">
        <v>113</v>
      </c>
    </row>
    <row r="162" spans="2:11" ht="16">
      <c r="B162" s="44" t="s">
        <v>199</v>
      </c>
      <c r="C162" s="44" t="s">
        <v>103</v>
      </c>
      <c r="D162" s="44" t="s">
        <v>202</v>
      </c>
      <c r="E162" s="44" t="s">
        <v>105</v>
      </c>
      <c r="F162" s="44" t="s">
        <v>10</v>
      </c>
      <c r="G162" s="44" t="s">
        <v>10</v>
      </c>
      <c r="H162" s="44" t="s">
        <v>10</v>
      </c>
      <c r="I162" s="44" t="s">
        <v>16</v>
      </c>
      <c r="J162" s="46">
        <v>215.66</v>
      </c>
      <c r="K162" s="46">
        <v>215.66</v>
      </c>
    </row>
    <row r="163" spans="1:10" ht="16">
      <c r="A163" s="37" t="s">
        <v>116</v>
      </c>
      <c r="J163" s="47">
        <f>J162</f>
        <v>215.66</v>
      </c>
    </row>
    <row r="164" spans="1:10" ht="16">
      <c r="A164" s="38" t="s">
        <v>117</v>
      </c>
      <c r="J164" s="47">
        <f>J154+J160+J163</f>
        <v>802.8199999999999</v>
      </c>
    </row>
    <row r="165" spans="1:10" ht="16">
      <c r="A165" s="36" t="s">
        <v>203</v>
      </c>
      <c r="J165" s="47">
        <f>J148+J164</f>
        <v>957.8899999999999</v>
      </c>
    </row>
    <row r="166" spans="1:1" ht="16">
      <c r="A166" s="35" t="s">
        <v>204</v>
      </c>
    </row>
    <row r="167" spans="2:11" ht="16">
      <c r="B167" s="44" t="s">
        <v>79</v>
      </c>
      <c r="C167" s="44" t="s">
        <v>103</v>
      </c>
      <c r="D167" s="44" t="s">
        <v>205</v>
      </c>
      <c r="E167" s="44" t="s">
        <v>206</v>
      </c>
      <c r="F167" s="44" t="s">
        <v>10</v>
      </c>
      <c r="G167" s="44" t="s">
        <v>10</v>
      </c>
      <c r="H167" s="44" t="s">
        <v>207</v>
      </c>
      <c r="I167" s="44" t="s">
        <v>16</v>
      </c>
      <c r="J167" s="46">
        <v>75.0</v>
      </c>
      <c r="K167" s="46">
        <v>75.0</v>
      </c>
    </row>
    <row r="168" spans="1:10" ht="16">
      <c r="A168" s="36" t="s">
        <v>208</v>
      </c>
      <c r="J168" s="47">
        <f>J167</f>
        <v>75.0</v>
      </c>
    </row>
    <row r="169" spans="1:1" ht="16">
      <c r="A169" s="35" t="s">
        <v>209</v>
      </c>
    </row>
    <row r="170" spans="2:11" ht="16">
      <c r="B170" s="44" t="s">
        <v>210</v>
      </c>
      <c r="C170" s="44" t="s">
        <v>103</v>
      </c>
      <c r="D170" s="44" t="s">
        <v>211</v>
      </c>
      <c r="E170" s="44" t="s">
        <v>212</v>
      </c>
      <c r="F170" s="44" t="s">
        <v>10</v>
      </c>
      <c r="G170" s="44" t="s">
        <v>10</v>
      </c>
      <c r="H170" s="44" t="s">
        <v>10</v>
      </c>
      <c r="I170" s="44" t="s">
        <v>16</v>
      </c>
      <c r="J170" s="46">
        <v>250.0</v>
      </c>
      <c r="K170" s="46">
        <v>250.0</v>
      </c>
    </row>
    <row r="171" spans="2:11" ht="16">
      <c r="B171" s="44" t="s">
        <v>30</v>
      </c>
      <c r="C171" s="44" t="s">
        <v>181</v>
      </c>
      <c r="D171" s="44" t="s">
        <v>10</v>
      </c>
      <c r="E171" s="44" t="s">
        <v>213</v>
      </c>
      <c r="F171" s="44" t="s">
        <v>10</v>
      </c>
      <c r="G171" s="44" t="s">
        <v>10</v>
      </c>
      <c r="H171" s="44" t="s">
        <v>10</v>
      </c>
      <c r="I171" s="44" t="s">
        <v>183</v>
      </c>
      <c r="J171" s="46">
        <v>75.0</v>
      </c>
      <c r="K171" s="46">
        <v>325.0</v>
      </c>
    </row>
    <row r="172" spans="2:11" ht="16">
      <c r="B172" s="44" t="s">
        <v>79</v>
      </c>
      <c r="C172" s="44" t="s">
        <v>181</v>
      </c>
      <c r="D172" s="44" t="s">
        <v>10</v>
      </c>
      <c r="E172" s="44" t="s">
        <v>212</v>
      </c>
      <c r="F172" s="44" t="s">
        <v>10</v>
      </c>
      <c r="G172" s="44" t="s">
        <v>10</v>
      </c>
      <c r="H172" s="44" t="s">
        <v>10</v>
      </c>
      <c r="I172" s="44" t="s">
        <v>183</v>
      </c>
      <c r="J172" s="46">
        <v>315.0</v>
      </c>
      <c r="K172" s="46">
        <v>640.0</v>
      </c>
    </row>
    <row r="173" spans="1:10" ht="16">
      <c r="A173" s="38" t="s">
        <v>214</v>
      </c>
      <c r="J173" s="47">
        <f>J170+J171+J172</f>
        <v>640.0</v>
      </c>
    </row>
    <row r="174" spans="1:1" ht="16">
      <c r="A174" s="35" t="s">
        <v>215</v>
      </c>
    </row>
    <row r="175" spans="2:11" ht="16">
      <c r="B175" s="44" t="s">
        <v>196</v>
      </c>
      <c r="C175" s="44" t="s">
        <v>157</v>
      </c>
      <c r="D175" s="44" t="s">
        <v>211</v>
      </c>
      <c r="E175" s="44" t="s">
        <v>213</v>
      </c>
      <c r="F175" s="44" t="s">
        <v>10</v>
      </c>
      <c r="G175" s="44" t="s">
        <v>10</v>
      </c>
      <c r="H175" s="44" t="s">
        <v>10</v>
      </c>
      <c r="I175" s="44" t="s">
        <v>16</v>
      </c>
      <c r="J175" s="46">
        <v>55.0</v>
      </c>
      <c r="K175" s="46">
        <v>55.0</v>
      </c>
    </row>
    <row r="176" spans="1:10" ht="16">
      <c r="A176" s="38" t="s">
        <v>216</v>
      </c>
      <c r="J176" s="47">
        <f>J175</f>
        <v>55.0</v>
      </c>
    </row>
    <row r="177" spans="1:1" ht="16">
      <c r="A177" s="35" t="s">
        <v>217</v>
      </c>
    </row>
    <row r="178" spans="2:11" ht="16">
      <c r="B178" s="44" t="s">
        <v>218</v>
      </c>
      <c r="C178" s="44" t="s">
        <v>181</v>
      </c>
      <c r="D178" s="44" t="s">
        <v>10</v>
      </c>
      <c r="E178" s="44" t="s">
        <v>212</v>
      </c>
      <c r="F178" s="44" t="s">
        <v>10</v>
      </c>
      <c r="G178" s="44" t="s">
        <v>10</v>
      </c>
      <c r="H178" s="44" t="s">
        <v>10</v>
      </c>
      <c r="I178" s="44" t="s">
        <v>183</v>
      </c>
      <c r="J178" s="46">
        <v>300.0</v>
      </c>
      <c r="K178" s="46">
        <v>300.0</v>
      </c>
    </row>
    <row r="179" spans="2:11" ht="16">
      <c r="B179" s="44" t="s">
        <v>67</v>
      </c>
      <c r="C179" s="44" t="s">
        <v>157</v>
      </c>
      <c r="D179" s="44" t="s">
        <v>10</v>
      </c>
      <c r="E179" s="44" t="s">
        <v>219</v>
      </c>
      <c r="F179" s="44" t="s">
        <v>10</v>
      </c>
      <c r="G179" s="44" t="s">
        <v>10</v>
      </c>
      <c r="H179" s="44" t="s">
        <v>220</v>
      </c>
      <c r="I179" s="44" t="s">
        <v>16</v>
      </c>
      <c r="J179" s="46">
        <v>100.0</v>
      </c>
      <c r="K179" s="46">
        <v>400.0</v>
      </c>
    </row>
    <row r="180" spans="1:10" ht="16">
      <c r="A180" s="38" t="s">
        <v>221</v>
      </c>
      <c r="J180" s="47">
        <f>J178+J179</f>
        <v>400.0</v>
      </c>
    </row>
    <row r="181" spans="1:10" ht="16">
      <c r="A181" s="36" t="s">
        <v>222</v>
      </c>
      <c r="J181" s="47">
        <f>J168+J173+J176+J180</f>
        <v>1170.0</v>
      </c>
    </row>
    <row r="182" spans="1:1" ht="16">
      <c r="A182" s="35" t="s">
        <v>122</v>
      </c>
    </row>
    <row r="183" spans="2:11" ht="16">
      <c r="B183" s="44" t="s">
        <v>172</v>
      </c>
      <c r="C183" s="44" t="s">
        <v>157</v>
      </c>
      <c r="D183" s="44" t="s">
        <v>223</v>
      </c>
      <c r="E183" s="44" t="s">
        <v>167</v>
      </c>
      <c r="F183" s="44" t="s">
        <v>10</v>
      </c>
      <c r="G183" s="44" t="s">
        <v>10</v>
      </c>
      <c r="H183" s="44" t="s">
        <v>10</v>
      </c>
      <c r="I183" s="44" t="s">
        <v>16</v>
      </c>
      <c r="J183" s="46">
        <v>185.0</v>
      </c>
      <c r="K183" s="46">
        <v>185.0</v>
      </c>
    </row>
    <row r="184" spans="1:10" ht="16">
      <c r="A184" s="36" t="s">
        <v>124</v>
      </c>
      <c r="J184" s="47">
        <f>J183</f>
        <v>185.0</v>
      </c>
    </row>
    <row r="185" spans="1:1" ht="16">
      <c r="A185" s="35" t="s">
        <v>224</v>
      </c>
    </row>
    <row r="186" spans="2:11" ht="16">
      <c r="B186" s="44" t="s">
        <v>20</v>
      </c>
      <c r="C186" s="44" t="s">
        <v>181</v>
      </c>
      <c r="D186" s="44" t="s">
        <v>10</v>
      </c>
      <c r="E186" s="44" t="s">
        <v>225</v>
      </c>
      <c r="F186" s="44" t="s">
        <v>10</v>
      </c>
      <c r="G186" s="44" t="s">
        <v>10</v>
      </c>
      <c r="H186" s="44" t="s">
        <v>226</v>
      </c>
      <c r="I186" s="44" t="s">
        <v>183</v>
      </c>
      <c r="J186" s="46">
        <v>755.0</v>
      </c>
      <c r="K186" s="46">
        <v>755.0</v>
      </c>
    </row>
    <row r="187" spans="1:10" ht="16">
      <c r="A187" s="38" t="s">
        <v>227</v>
      </c>
      <c r="J187" s="47">
        <f>J186</f>
        <v>755.0</v>
      </c>
    </row>
    <row r="188" spans="1:10" ht="16">
      <c r="A188" s="36" t="s">
        <v>228</v>
      </c>
      <c r="J188" s="47">
        <f>J184+J187</f>
        <v>940.0</v>
      </c>
    </row>
    <row r="189" spans="1:1" ht="16">
      <c r="A189" s="35" t="s">
        <v>229</v>
      </c>
    </row>
    <row r="190" spans="2:11" ht="16">
      <c r="B190" s="44" t="s">
        <v>67</v>
      </c>
      <c r="C190" s="44" t="s">
        <v>155</v>
      </c>
      <c r="D190" s="44" t="s">
        <v>10</v>
      </c>
      <c r="E190" s="44" t="s">
        <v>230</v>
      </c>
      <c r="F190" s="44" t="s">
        <v>10</v>
      </c>
      <c r="G190" s="44" t="s">
        <v>10</v>
      </c>
      <c r="H190" s="44" t="s">
        <v>10</v>
      </c>
      <c r="I190" s="44" t="s">
        <v>16</v>
      </c>
      <c r="J190" s="46">
        <v>5.66</v>
      </c>
      <c r="K190" s="46">
        <v>5.66</v>
      </c>
    </row>
    <row r="191" spans="2:11" ht="16">
      <c r="B191" s="44" t="s">
        <v>70</v>
      </c>
      <c r="C191" s="44" t="s">
        <v>155</v>
      </c>
      <c r="D191" s="44" t="s">
        <v>10</v>
      </c>
      <c r="E191" s="44" t="s">
        <v>230</v>
      </c>
      <c r="F191" s="44" t="s">
        <v>10</v>
      </c>
      <c r="G191" s="44" t="s">
        <v>10</v>
      </c>
      <c r="H191" s="44" t="s">
        <v>10</v>
      </c>
      <c r="I191" s="44" t="s">
        <v>16</v>
      </c>
      <c r="J191" s="46">
        <v>3.86</v>
      </c>
      <c r="K191" s="46">
        <v>9.52</v>
      </c>
    </row>
    <row r="192" spans="2:11" ht="16">
      <c r="B192" s="44" t="s">
        <v>159</v>
      </c>
      <c r="C192" s="44" t="s">
        <v>160</v>
      </c>
      <c r="D192" s="44" t="s">
        <v>10</v>
      </c>
      <c r="E192" s="44" t="s">
        <v>230</v>
      </c>
      <c r="F192" s="44" t="s">
        <v>10</v>
      </c>
      <c r="G192" s="44" t="s">
        <v>10</v>
      </c>
      <c r="H192" s="44" t="s">
        <v>10</v>
      </c>
      <c r="I192" s="44" t="s">
        <v>111</v>
      </c>
      <c r="J192" s="46">
        <v>18.97</v>
      </c>
      <c r="K192" s="46">
        <v>28.49</v>
      </c>
    </row>
    <row r="193" spans="1:10" ht="16">
      <c r="A193" s="36" t="s">
        <v>231</v>
      </c>
      <c r="J193" s="47">
        <f>J190+J191+J192</f>
        <v>28.49</v>
      </c>
    </row>
    <row r="194" spans="1:1" ht="16">
      <c r="A194" s="35" t="s">
        <v>232</v>
      </c>
    </row>
    <row r="195" spans="2:11" ht="16">
      <c r="B195" s="44" t="s">
        <v>199</v>
      </c>
      <c r="C195" s="44" t="s">
        <v>157</v>
      </c>
      <c r="D195" s="44" t="s">
        <v>233</v>
      </c>
      <c r="E195" s="44" t="s">
        <v>234</v>
      </c>
      <c r="F195" s="44" t="s">
        <v>10</v>
      </c>
      <c r="G195" s="44" t="s">
        <v>10</v>
      </c>
      <c r="H195" s="44" t="s">
        <v>235</v>
      </c>
      <c r="I195" s="44" t="s">
        <v>16</v>
      </c>
      <c r="J195" s="46">
        <v>18.08</v>
      </c>
      <c r="K195" s="46">
        <v>18.08</v>
      </c>
    </row>
    <row r="196" spans="1:10" ht="16">
      <c r="A196" s="36" t="s">
        <v>236</v>
      </c>
      <c r="J196" s="47">
        <f>J195</f>
        <v>18.08</v>
      </c>
    </row>
    <row r="197" spans="1:1" ht="16">
      <c r="A197" s="35" t="s">
        <v>237</v>
      </c>
    </row>
    <row r="198" spans="2:11" ht="16">
      <c r="B198" s="44" t="s">
        <v>61</v>
      </c>
      <c r="C198" s="44" t="s">
        <v>181</v>
      </c>
      <c r="D198" s="44" t="s">
        <v>10</v>
      </c>
      <c r="E198" s="44" t="s">
        <v>238</v>
      </c>
      <c r="F198" s="44" t="s">
        <v>10</v>
      </c>
      <c r="G198" s="44" t="s">
        <v>10</v>
      </c>
      <c r="H198" s="44" t="s">
        <v>239</v>
      </c>
      <c r="I198" s="44" t="s">
        <v>183</v>
      </c>
      <c r="J198" s="46">
        <v>900.0</v>
      </c>
      <c r="K198" s="46">
        <v>900.0</v>
      </c>
    </row>
    <row r="199" spans="1:10" ht="16">
      <c r="A199" s="36" t="s">
        <v>240</v>
      </c>
      <c r="J199" s="47">
        <f>J198</f>
        <v>900.0</v>
      </c>
    </row>
    <row r="200" spans="1:1" ht="16">
      <c r="A200" s="35" t="s">
        <v>241</v>
      </c>
    </row>
    <row r="201" spans="1:1" ht="16">
      <c r="A201" s="35" t="s">
        <v>242</v>
      </c>
    </row>
    <row r="202" spans="2:11" ht="16">
      <c r="B202" s="44" t="s">
        <v>243</v>
      </c>
      <c r="C202" s="44" t="s">
        <v>181</v>
      </c>
      <c r="D202" s="44" t="s">
        <v>10</v>
      </c>
      <c r="E202" s="44" t="s">
        <v>244</v>
      </c>
      <c r="F202" s="44" t="s">
        <v>10</v>
      </c>
      <c r="G202" s="44" t="s">
        <v>10</v>
      </c>
      <c r="H202" s="44" t="s">
        <v>10</v>
      </c>
      <c r="I202" s="44" t="s">
        <v>183</v>
      </c>
      <c r="J202" s="46">
        <v>86.44</v>
      </c>
      <c r="K202" s="46">
        <v>86.44</v>
      </c>
    </row>
    <row r="203" spans="2:11" ht="16">
      <c r="B203" s="44" t="s">
        <v>61</v>
      </c>
      <c r="C203" s="44" t="s">
        <v>181</v>
      </c>
      <c r="D203" s="44" t="s">
        <v>10</v>
      </c>
      <c r="E203" s="44" t="s">
        <v>244</v>
      </c>
      <c r="F203" s="44" t="s">
        <v>10</v>
      </c>
      <c r="G203" s="44" t="s">
        <v>10</v>
      </c>
      <c r="H203" s="44" t="s">
        <v>10</v>
      </c>
      <c r="I203" s="44" t="s">
        <v>183</v>
      </c>
      <c r="J203" s="46">
        <v>114.09</v>
      </c>
      <c r="K203" s="46">
        <v>200.53</v>
      </c>
    </row>
    <row r="204" spans="1:10" ht="16">
      <c r="A204" s="38" t="s">
        <v>245</v>
      </c>
      <c r="J204" s="47">
        <f>J202+J203</f>
        <v>200.53</v>
      </c>
    </row>
    <row r="205" spans="1:1" ht="16">
      <c r="A205" s="35" t="s">
        <v>246</v>
      </c>
    </row>
    <row r="206" spans="2:11" ht="16">
      <c r="B206" s="44" t="s">
        <v>247</v>
      </c>
      <c r="C206" s="44" t="s">
        <v>181</v>
      </c>
      <c r="D206" s="44" t="s">
        <v>10</v>
      </c>
      <c r="E206" s="44" t="s">
        <v>248</v>
      </c>
      <c r="F206" s="44" t="s">
        <v>10</v>
      </c>
      <c r="G206" s="44" t="s">
        <v>10</v>
      </c>
      <c r="H206" s="44" t="s">
        <v>10</v>
      </c>
      <c r="I206" s="44" t="s">
        <v>183</v>
      </c>
      <c r="J206" s="46">
        <v>56.5</v>
      </c>
      <c r="K206" s="46">
        <v>56.5</v>
      </c>
    </row>
    <row r="207" spans="2:11" ht="16">
      <c r="B207" s="44" t="s">
        <v>61</v>
      </c>
      <c r="C207" s="44" t="s">
        <v>181</v>
      </c>
      <c r="D207" s="44" t="s">
        <v>10</v>
      </c>
      <c r="E207" s="44" t="s">
        <v>248</v>
      </c>
      <c r="F207" s="44" t="s">
        <v>10</v>
      </c>
      <c r="G207" s="44" t="s">
        <v>10</v>
      </c>
      <c r="H207" s="44" t="s">
        <v>249</v>
      </c>
      <c r="I207" s="44" t="s">
        <v>183</v>
      </c>
      <c r="J207" s="46">
        <v>74.36</v>
      </c>
      <c r="K207" s="46">
        <v>130.86</v>
      </c>
    </row>
    <row r="208" spans="1:10" ht="16">
      <c r="A208" s="38" t="s">
        <v>250</v>
      </c>
      <c r="J208" s="47">
        <f>J206+J207</f>
        <v>130.86</v>
      </c>
    </row>
    <row r="209" spans="1:10" ht="16">
      <c r="A209" s="36" t="s">
        <v>251</v>
      </c>
      <c r="J209" s="47">
        <f>J204+J208</f>
        <v>331.39</v>
      </c>
    </row>
    <row r="210" spans="1:10" ht="16">
      <c r="A210" s="39" t="s">
        <v>252</v>
      </c>
      <c r="J210" s="47">
        <f>J122+J138+J141+J144+J165+J181+J188+J193+J196+J199+J209</f>
        <v>5237.31</v>
      </c>
    </row>
    <row r="211" spans="1:10" ht="16">
      <c r="A211" s="40" t="s">
        <v>253</v>
      </c>
      <c r="J211" s="47">
        <v>4558.459999999998</v>
      </c>
    </row>
    <row r="212" spans="1:1" ht="16">
      <c r="A212" s="35" t="s">
        <v>254</v>
      </c>
    </row>
    <row r="213" spans="2:10" ht="16">
      <c r="B213" s="44" t="s">
        <v>255</v>
      </c>
      <c r="J213" s="44"/>
    </row>
    <row r="214" spans="1:1" ht="16">
      <c r="A214" s="35" t="s">
        <v>256</v>
      </c>
    </row>
    <row r="215" spans="1:1" ht="16">
      <c r="A215" s="35" t="s">
        <v>257</v>
      </c>
    </row>
    <row r="216" spans="2:11" ht="16">
      <c r="B216" s="44" t="s">
        <v>258</v>
      </c>
      <c r="C216" s="44" t="s">
        <v>181</v>
      </c>
      <c r="D216" s="44" t="s">
        <v>10</v>
      </c>
      <c r="E216" s="44" t="s">
        <v>105</v>
      </c>
      <c r="F216" s="44" t="s">
        <v>10</v>
      </c>
      <c r="G216" s="44" t="s">
        <v>10</v>
      </c>
      <c r="H216" s="44" t="s">
        <v>10</v>
      </c>
      <c r="I216" s="44" t="s">
        <v>183</v>
      </c>
      <c r="J216" s="46">
        <v>250.0</v>
      </c>
      <c r="K216" s="46">
        <v>250.0</v>
      </c>
    </row>
    <row r="217" spans="2:11" ht="16">
      <c r="B217" s="44" t="s">
        <v>170</v>
      </c>
      <c r="C217" s="44" t="s">
        <v>181</v>
      </c>
      <c r="D217" s="44" t="s">
        <v>10</v>
      </c>
      <c r="E217" s="44" t="s">
        <v>259</v>
      </c>
      <c r="F217" s="44" t="s">
        <v>10</v>
      </c>
      <c r="G217" s="44" t="s">
        <v>10</v>
      </c>
      <c r="H217" s="44" t="s">
        <v>10</v>
      </c>
      <c r="I217" s="44" t="s">
        <v>183</v>
      </c>
      <c r="J217" s="46">
        <v>666.0</v>
      </c>
      <c r="K217" s="46">
        <v>916.0</v>
      </c>
    </row>
    <row r="218" spans="2:11" ht="16">
      <c r="B218" s="44" t="s">
        <v>180</v>
      </c>
      <c r="C218" s="44" t="s">
        <v>181</v>
      </c>
      <c r="D218" s="44" t="s">
        <v>10</v>
      </c>
      <c r="E218" s="44" t="s">
        <v>182</v>
      </c>
      <c r="F218" s="44" t="s">
        <v>10</v>
      </c>
      <c r="G218" s="44" t="s">
        <v>10</v>
      </c>
      <c r="H218" s="44" t="s">
        <v>10</v>
      </c>
      <c r="I218" s="44" t="s">
        <v>183</v>
      </c>
      <c r="J218" s="46">
        <v>2000.0</v>
      </c>
      <c r="K218" s="46">
        <v>2916.0</v>
      </c>
    </row>
    <row r="219" spans="1:10" ht="16">
      <c r="A219" s="36" t="s">
        <v>260</v>
      </c>
      <c r="J219" s="47">
        <f>J216+J217+J218</f>
        <v>2916.0</v>
      </c>
    </row>
    <row r="220" spans="1:10" ht="16">
      <c r="A220" s="39" t="s">
        <v>261</v>
      </c>
      <c r="J220" s="47">
        <f>J219</f>
        <v>2916.0</v>
      </c>
    </row>
    <row r="221" spans="1:10" ht="16">
      <c r="A221" s="40" t="s">
        <v>262</v>
      </c>
      <c r="J221" s="48">
        <v>-2916.0</v>
      </c>
    </row>
    <row r="222" spans="1:10" ht="16">
      <c r="A222" s="40" t="s">
        <v>263</v>
      </c>
      <c r="J222" s="47">
        <v>1642.4599999999982</v>
      </c>
    </row>
    <row r="226" spans="1:1" ht="16">
      <c r="A226" s="49" t="s">
        <v>274</v>
      </c>
    </row>
  </sheetData>
  <mergeCells count="4">
    <mergeCell ref="A1:K1"/>
    <mergeCell ref="A2:K2"/>
    <mergeCell ref="A3:K3"/>
    <mergeCell ref="A226:K22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