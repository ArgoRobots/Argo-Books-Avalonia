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" l="1"/>
</calcChain>
</file>

<file path=xl/sharedStrings.xml><?xml version="1.0" encoding="utf-8"?>
<sst xmlns="http://schemas.openxmlformats.org/spreadsheetml/2006/main" count="64" uniqueCount="58">
  <si>
    <t>Craig's Design and Landscaping Services</t>
  </si>
  <si>
    <t>Profit and Loss</t>
  </si>
  <si>
    <t>January 1-July 29, 2026</t>
  </si>
  <si>
    <t>Income</t>
  </si>
  <si>
    <t>Design income</t>
  </si>
  <si>
    <t>Discounts given</t>
  </si>
  <si>
    <t>Landscaping Services</t>
  </si>
  <si>
    <t>Job Materials</t>
  </si>
  <si>
    <t>Fountains and Garden Lighting</t>
  </si>
  <si>
    <t>Plants and Soil</t>
  </si>
  <si>
    <t>Sprinklers and Drip Systems</t>
  </si>
  <si>
    <t>Total for Job Materials</t>
  </si>
  <si>
    <t>Labor</t>
  </si>
  <si>
    <t>Installation</t>
  </si>
  <si>
    <t>Maintenance and Repair</t>
  </si>
  <si>
    <t>Total for Labor</t>
  </si>
  <si>
    <t>Total for Landscaping Services</t>
  </si>
  <si>
    <t>Pest Control Services</t>
  </si>
  <si>
    <t>Sales of Product Income</t>
  </si>
  <si>
    <t>Services</t>
  </si>
  <si>
    <t>Total for Income</t>
  </si>
  <si>
    <t>Cost of Goods Sold</t>
  </si>
  <si>
    <t>Total for Cost of Goods Sold</t>
  </si>
  <si>
    <t>Gross Profit</t>
  </si>
  <si>
    <t>Expenses</t>
  </si>
  <si>
    <t>Advertising</t>
  </si>
  <si>
    <t>Automobile</t>
  </si>
  <si>
    <t>Fuel</t>
  </si>
  <si>
    <t>Total for Automobile</t>
  </si>
  <si>
    <t>Equipment Rental</t>
  </si>
  <si>
    <t>Insurance</t>
  </si>
  <si>
    <t>Job Expenses</t>
  </si>
  <si>
    <t>Decks and Patios</t>
  </si>
  <si>
    <t>Total for Job Expenses</t>
  </si>
  <si>
    <t>Legal &amp; Professional Fees</t>
  </si>
  <si>
    <t>Accounting</t>
  </si>
  <si>
    <t>Bookkeeper</t>
  </si>
  <si>
    <t>Lawyer</t>
  </si>
  <si>
    <t>Total for Legal &amp; Professional Fees</t>
  </si>
  <si>
    <t>Equipment Repairs</t>
  </si>
  <si>
    <t>Total for Maintenance and Repair</t>
  </si>
  <si>
    <t>Meals and Entertainment</t>
  </si>
  <si>
    <t>Office Expenses</t>
  </si>
  <si>
    <t>Rent or Lease</t>
  </si>
  <si>
    <t>Utilities</t>
  </si>
  <si>
    <t>Gas and Electric</t>
  </si>
  <si>
    <t>Telephone</t>
  </si>
  <si>
    <t>Total for Utilities</t>
  </si>
  <si>
    <t>Total for Expenses</t>
  </si>
  <si>
    <t>Net Operating Income</t>
  </si>
  <si>
    <t>Other Expenses</t>
  </si>
  <si>
    <t>Miscellaneous</t>
  </si>
  <si>
    <t>Total for Other Expenses</t>
  </si>
  <si>
    <t>Net Other Income</t>
  </si>
  <si>
    <t>Net Income</t>
  </si>
  <si>
    <t/>
  </si>
  <si>
    <t>Total</t>
  </si>
  <si>
    <t>Accrual Basis Thursday, July 30, 2026 01:52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</si>
</sst>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0" xfId="0" applyFont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67"/>
  <sheetViews>
    <sheetView tabSelected="1" workbookViewId="0" topLeftCell="A1"/>
  </sheetViews>
  <sheetFormatPr defaultColWidth="11.255" defaultRowHeight="16"/>
  <cols>
    <col min="1" max="1" width="30.75" style="39" customWidth="1"/>
    <col min="2" max="2" width="16.125" style="39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1:2" ht="16">
      <c r="A5" s="41" t="s">
        <v>55</v>
      </c>
      <c r="B5" s="45" t="s">
        <v>56</v>
      </c>
    </row>
    <row r="6" spans="1:1" ht="16">
      <c r="A6" s="32" t="s">
        <v>3</v>
      </c>
    </row>
    <row r="7" spans="1:2" ht="16">
      <c r="A7" s="33" t="s">
        <v>4</v>
      </c>
      <c r="B7" s="42">
        <v>2250.0</v>
      </c>
    </row>
    <row r="8" spans="1:2" ht="16">
      <c r="A8" s="33" t="s">
        <v>5</v>
      </c>
      <c r="B8" s="42">
        <v>-89.5</v>
      </c>
    </row>
    <row r="9" spans="1:2" ht="16">
      <c r="A9" s="33" t="s">
        <v>6</v>
      </c>
      <c r="B9" s="42">
        <v>1477.5</v>
      </c>
    </row>
    <row r="10" spans="1:2" ht="16">
      <c r="A10" s="34" t="s">
        <v>7</v>
      </c>
      <c r="B10" s="43"/>
    </row>
    <row r="11" spans="1:2" ht="16">
      <c r="A11" s="35" t="s">
        <v>8</v>
      </c>
      <c r="B11" s="42">
        <v>2246.5</v>
      </c>
    </row>
    <row r="12" spans="1:2" ht="16">
      <c r="A12" s="35" t="s">
        <v>9</v>
      </c>
      <c r="B12" s="42">
        <v>2351.97</v>
      </c>
    </row>
    <row r="13" spans="1:2" ht="16">
      <c r="A13" s="35" t="s">
        <v>10</v>
      </c>
      <c r="B13" s="42">
        <v>138.0</v>
      </c>
    </row>
    <row r="14" spans="1:2" ht="16">
      <c r="A14" s="36" t="s">
        <v>11</v>
      </c>
      <c r="B14" s="44">
        <f>B10+B11+B12+B13</f>
        <v>4736.469999999999</v>
      </c>
    </row>
    <row r="15" spans="1:2" ht="16">
      <c r="A15" s="34" t="s">
        <v>12</v>
      </c>
      <c r="B15" s="43"/>
    </row>
    <row r="16" spans="1:2" ht="16">
      <c r="A16" s="35" t="s">
        <v>13</v>
      </c>
      <c r="B16" s="42">
        <v>250.0</v>
      </c>
    </row>
    <row r="17" spans="1:2" ht="16">
      <c r="A17" s="35" t="s">
        <v>14</v>
      </c>
      <c r="B17" s="42">
        <v>50.0</v>
      </c>
    </row>
    <row r="18" spans="1:2" ht="16">
      <c r="A18" s="36" t="s">
        <v>15</v>
      </c>
      <c r="B18" s="44">
        <f>B15+B16+B17</f>
        <v>300.0</v>
      </c>
    </row>
    <row r="19" spans="1:2" ht="16">
      <c r="A19" s="37" t="s">
        <v>16</v>
      </c>
      <c r="B19" s="44">
        <f>B9+B14+B18</f>
        <v>6513.969999999999</v>
      </c>
    </row>
    <row r="20" spans="1:2" ht="16">
      <c r="A20" s="33" t="s">
        <v>17</v>
      </c>
      <c r="B20" s="42">
        <v>110.0</v>
      </c>
    </row>
    <row r="21" spans="1:2" ht="16">
      <c r="A21" s="33" t="s">
        <v>18</v>
      </c>
      <c r="B21" s="42">
        <v>912.75</v>
      </c>
    </row>
    <row r="22" spans="1:2" ht="16">
      <c r="A22" s="33" t="s">
        <v>19</v>
      </c>
      <c r="B22" s="42">
        <v>503.55</v>
      </c>
    </row>
    <row r="23" spans="1:2" ht="16">
      <c r="A23" s="38" t="s">
        <v>20</v>
      </c>
      <c r="B23" s="44">
        <f>B6+B7+B8+B19+B20+B21+B22</f>
        <v>10200.769999999999</v>
      </c>
    </row>
    <row r="24" spans="1:1" ht="16">
      <c r="A24" s="32" t="s">
        <v>21</v>
      </c>
    </row>
    <row r="25" spans="1:2" ht="16">
      <c r="A25" s="33" t="s">
        <v>21</v>
      </c>
      <c r="B25" s="42">
        <v>405.0</v>
      </c>
    </row>
    <row r="26" spans="1:2" ht="16">
      <c r="A26" s="38" t="s">
        <v>22</v>
      </c>
      <c r="B26" s="44">
        <f>B24+B25</f>
        <v>405.0</v>
      </c>
    </row>
    <row r="27" spans="1:2" ht="16">
      <c r="A27" s="38" t="s">
        <v>23</v>
      </c>
      <c r="B27" s="44">
        <f>B23-B26</f>
        <v>9795.769999999999</v>
      </c>
    </row>
    <row r="28" spans="1:1" ht="16">
      <c r="A28" s="32" t="s">
        <v>24</v>
      </c>
    </row>
    <row r="29" spans="1:2" ht="16">
      <c r="A29" s="33" t="s">
        <v>25</v>
      </c>
      <c r="B29" s="42">
        <v>74.86</v>
      </c>
    </row>
    <row r="30" spans="1:2" ht="16">
      <c r="A30" s="33" t="s">
        <v>26</v>
      </c>
      <c r="B30" s="42">
        <v>113.96</v>
      </c>
    </row>
    <row r="31" spans="1:2" ht="16">
      <c r="A31" s="34" t="s">
        <v>27</v>
      </c>
      <c r="B31" s="42">
        <v>349.41</v>
      </c>
    </row>
    <row r="32" spans="1:2" ht="16">
      <c r="A32" s="37" t="s">
        <v>28</v>
      </c>
      <c r="B32" s="44">
        <f>B30+B31</f>
        <v>463.37</v>
      </c>
    </row>
    <row r="33" spans="1:2" ht="16">
      <c r="A33" s="33" t="s">
        <v>29</v>
      </c>
      <c r="B33" s="42">
        <v>112.0</v>
      </c>
    </row>
    <row r="34" spans="1:2" ht="16">
      <c r="A34" s="33" t="s">
        <v>30</v>
      </c>
      <c r="B34" s="42">
        <v>241.23</v>
      </c>
    </row>
    <row r="35" spans="1:2" ht="16">
      <c r="A35" s="33" t="s">
        <v>31</v>
      </c>
      <c r="B35" s="42">
        <v>155.07</v>
      </c>
    </row>
    <row r="36" spans="1:2" ht="16">
      <c r="A36" s="34" t="s">
        <v>7</v>
      </c>
      <c r="B36" s="43"/>
    </row>
    <row r="37" spans="1:2" ht="16">
      <c r="A37" s="35" t="s">
        <v>32</v>
      </c>
      <c r="B37" s="42">
        <v>234.04</v>
      </c>
    </row>
    <row r="38" spans="1:2" ht="16">
      <c r="A38" s="35" t="s">
        <v>9</v>
      </c>
      <c r="B38" s="42">
        <v>353.12</v>
      </c>
    </row>
    <row r="39" spans="1:2" ht="16">
      <c r="A39" s="35" t="s">
        <v>10</v>
      </c>
      <c r="B39" s="42">
        <v>215.66</v>
      </c>
    </row>
    <row r="40" spans="1:2" ht="16">
      <c r="A40" s="36" t="s">
        <v>11</v>
      </c>
      <c r="B40" s="44">
        <f>B36+B37+B38+B39</f>
        <v>802.8199999999999</v>
      </c>
    </row>
    <row r="41" spans="1:2" ht="16">
      <c r="A41" s="37" t="s">
        <v>33</v>
      </c>
      <c r="B41" s="44">
        <f>B35+B40</f>
        <v>957.8899999999999</v>
      </c>
    </row>
    <row r="42" spans="1:2" ht="16">
      <c r="A42" s="33" t="s">
        <v>34</v>
      </c>
      <c r="B42" s="42">
        <v>75.0</v>
      </c>
    </row>
    <row r="43" spans="1:2" ht="16">
      <c r="A43" s="34" t="s">
        <v>35</v>
      </c>
      <c r="B43" s="42">
        <v>640.0</v>
      </c>
    </row>
    <row r="44" spans="1:2" ht="16">
      <c r="A44" s="34" t="s">
        <v>36</v>
      </c>
      <c r="B44" s="42">
        <v>55.0</v>
      </c>
    </row>
    <row r="45" spans="1:2" ht="16">
      <c r="A45" s="34" t="s">
        <v>37</v>
      </c>
      <c r="B45" s="42">
        <v>400.0</v>
      </c>
    </row>
    <row r="46" spans="1:2" ht="16">
      <c r="A46" s="37" t="s">
        <v>38</v>
      </c>
      <c r="B46" s="44">
        <f>B42+B43+B44+B45</f>
        <v>1170.0</v>
      </c>
    </row>
    <row r="47" spans="1:2" ht="16">
      <c r="A47" s="33" t="s">
        <v>14</v>
      </c>
      <c r="B47" s="42">
        <v>185.0</v>
      </c>
    </row>
    <row r="48" spans="1:2" ht="16">
      <c r="A48" s="34" t="s">
        <v>39</v>
      </c>
      <c r="B48" s="42">
        <v>755.0</v>
      </c>
    </row>
    <row r="49" spans="1:2" ht="16">
      <c r="A49" s="37" t="s">
        <v>40</v>
      </c>
      <c r="B49" s="44">
        <f>B47+B48</f>
        <v>940.0</v>
      </c>
    </row>
    <row r="50" spans="1:2" ht="16">
      <c r="A50" s="33" t="s">
        <v>41</v>
      </c>
      <c r="B50" s="42">
        <v>28.49</v>
      </c>
    </row>
    <row r="51" spans="1:2" ht="16">
      <c r="A51" s="33" t="s">
        <v>42</v>
      </c>
      <c r="B51" s="42">
        <v>18.08</v>
      </c>
    </row>
    <row r="52" spans="1:2" ht="16">
      <c r="A52" s="33" t="s">
        <v>43</v>
      </c>
      <c r="B52" s="42">
        <v>900.0</v>
      </c>
    </row>
    <row r="53" spans="1:2" ht="16">
      <c r="A53" s="33" t="s">
        <v>44</v>
      </c>
      <c r="B53" s="43"/>
    </row>
    <row r="54" spans="1:2" ht="16">
      <c r="A54" s="34" t="s">
        <v>45</v>
      </c>
      <c r="B54" s="42">
        <v>200.53</v>
      </c>
    </row>
    <row r="55" spans="1:2" ht="16">
      <c r="A55" s="34" t="s">
        <v>46</v>
      </c>
      <c r="B55" s="42">
        <v>130.86</v>
      </c>
    </row>
    <row r="56" spans="1:2" ht="16">
      <c r="A56" s="37" t="s">
        <v>47</v>
      </c>
      <c r="B56" s="44">
        <f>B53+B54+B55</f>
        <v>331.39</v>
      </c>
    </row>
    <row r="57" spans="1:2" ht="16">
      <c r="A57" s="38" t="s">
        <v>48</v>
      </c>
      <c r="B57" s="44">
        <f>B28+B29+B32+B33+B34+B41+B46+B49+B50+B51+B52+B56</f>
        <v>5237.31</v>
      </c>
    </row>
    <row r="58" spans="1:2" ht="16">
      <c r="A58" s="38" t="s">
        <v>49</v>
      </c>
      <c r="B58" s="44">
        <f>B27-B57</f>
        <v>4558.459999999998</v>
      </c>
    </row>
    <row r="59" spans="1:1" ht="16">
      <c r="A59" s="32" t="s">
        <v>50</v>
      </c>
    </row>
    <row r="60" spans="1:2" ht="16">
      <c r="A60" s="33" t="s">
        <v>51</v>
      </c>
      <c r="B60" s="42">
        <v>2916.0</v>
      </c>
    </row>
    <row r="61" spans="1:2" ht="16">
      <c r="A61" s="38" t="s">
        <v>52</v>
      </c>
      <c r="B61" s="44">
        <f>B59+B60</f>
        <v>2916.0</v>
      </c>
    </row>
    <row r="62" spans="1:2" ht="16">
      <c r="A62" s="38" t="s">
        <v>53</v>
      </c>
      <c r="B62" s="44">
        <f>0-B61</f>
        <v>-2916.0</v>
      </c>
    </row>
    <row r="63" spans="1:2" ht="16">
      <c r="A63" s="38" t="s">
        <v>54</v>
      </c>
      <c r="B63" s="44">
        <f>B58+B62</f>
        <v>1642.4599999999982</v>
      </c>
    </row>
    <row r="67" spans="1:1" ht="16">
      <c r="A67" s="46" t="s">
        <v>57</v>
      </c>
    </row>
  </sheetData>
  <mergeCells count="4">
    <mergeCell ref="A1:B1"/>
    <mergeCell ref="A2:B2"/>
    <mergeCell ref="A3:B3"/>
    <mergeCell ref="A67:B6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